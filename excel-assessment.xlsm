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shafi/Desktop/mapup/MapUp-Data-Assessment-E-main/"/>
    </mc:Choice>
  </mc:AlternateContent>
  <xr:revisionPtr revIDLastSave="0" documentId="13_ncr:1_{1D735B7F-ECA1-7C44-BC53-C8134EA1E956}" xr6:coauthVersionLast="47" xr6:coauthVersionMax="47" xr10:uidLastSave="{00000000-0000-0000-0000-000000000000}"/>
  <bookViews>
    <workbookView xWindow="0" yWindow="0" windowWidth="25600" windowHeight="1600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8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O23" i="20" a="1"/>
  <c r="O23" i="20" s="1"/>
  <c r="O24" i="20" a="1"/>
  <c r="O24" i="20" s="1"/>
  <c r="O25" i="20" a="1"/>
  <c r="O25" i="20" s="1"/>
  <c r="O26" i="20" a="1"/>
  <c r="O26" i="20" s="1"/>
  <c r="O27" i="20" a="1"/>
  <c r="O27" i="20"/>
  <c r="O28" i="20" a="1"/>
  <c r="O28" i="20" s="1"/>
  <c r="O29" i="20" a="1"/>
  <c r="O29" i="20"/>
  <c r="O30" i="20" a="1"/>
  <c r="O30" i="20"/>
  <c r="O31" i="20" a="1"/>
  <c r="O31" i="20"/>
  <c r="O32" i="20" a="1"/>
  <c r="O32" i="20" s="1"/>
  <c r="O33" i="20" a="1"/>
  <c r="O33" i="20"/>
  <c r="O34" i="20" a="1"/>
  <c r="O34" i="20"/>
  <c r="O35" i="20" a="1"/>
  <c r="O35" i="20"/>
  <c r="M28" i="20"/>
  <c r="M29" i="20"/>
  <c r="M30" i="20"/>
  <c r="M23" i="20"/>
  <c r="J24" i="20"/>
  <c r="M24" i="20" s="1"/>
  <c r="J25" i="20"/>
  <c r="M25" i="20" s="1"/>
  <c r="J26" i="20"/>
  <c r="M26" i="20" s="1"/>
  <c r="J27" i="20"/>
  <c r="M27" i="20" s="1"/>
  <c r="J28" i="20"/>
  <c r="J29" i="20"/>
  <c r="J30" i="20"/>
  <c r="J31" i="20"/>
  <c r="M31" i="20" s="1"/>
  <c r="J32" i="20"/>
  <c r="M32" i="20" s="1"/>
  <c r="J33" i="20"/>
  <c r="M33" i="20" s="1"/>
  <c r="J34" i="20"/>
  <c r="M34" i="20" s="1"/>
  <c r="J35" i="20"/>
  <c r="M35" i="20" s="1"/>
  <c r="J23" i="20"/>
  <c r="I24" i="20"/>
  <c r="L24" i="20" s="1"/>
  <c r="I25" i="20"/>
  <c r="L25" i="20" s="1"/>
  <c r="I26" i="20"/>
  <c r="L26" i="20" s="1"/>
  <c r="I27" i="20"/>
  <c r="L27" i="20" s="1"/>
  <c r="I28" i="20"/>
  <c r="L28" i="20" s="1"/>
  <c r="I29" i="20"/>
  <c r="L29" i="20" s="1"/>
  <c r="I30" i="20"/>
  <c r="L30" i="20" s="1"/>
  <c r="I31" i="20"/>
  <c r="L31" i="20" s="1"/>
  <c r="I32" i="20"/>
  <c r="L32" i="20" s="1"/>
  <c r="I33" i="20"/>
  <c r="L33" i="20" s="1"/>
  <c r="I34" i="20"/>
  <c r="L34" i="20" s="1"/>
  <c r="I35" i="20"/>
  <c r="L35" i="20" s="1"/>
  <c r="I23" i="20"/>
  <c r="L23" i="20" s="1"/>
  <c r="C22" i="19" a="1"/>
  <c r="C22" i="19" s="1"/>
  <c r="B16" i="16" a="1"/>
  <c r="B16" i="16" s="1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B9" i="18"/>
  <c r="B10" i="18"/>
  <c r="B11" i="18"/>
  <c r="B12" i="18"/>
  <c r="B13" i="18"/>
  <c r="B14" i="18"/>
  <c r="B6" i="18"/>
  <c r="C5" i="15"/>
  <c r="C22" i="15"/>
  <c r="E28" i="18" l="1"/>
  <c r="D31" i="18"/>
  <c r="B28" i="18"/>
  <c r="F29" i="18"/>
  <c r="F28" i="18"/>
  <c r="C31" i="18"/>
  <c r="B29" i="18"/>
  <c r="E29" i="18"/>
  <c r="B30" i="18"/>
  <c r="D30" i="18"/>
  <c r="F30" i="18"/>
  <c r="D28" i="18"/>
  <c r="E31" i="18"/>
  <c r="C28" i="18"/>
  <c r="E30" i="18"/>
  <c r="C30" i="18"/>
  <c r="B31" i="18"/>
  <c r="D29" i="18"/>
  <c r="F31" i="18"/>
  <c r="C29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SHAFI</author>
  </authors>
  <commentList>
    <comment ref="C5" authorId="0" shapeId="0" xr:uid="{35F44550-CFEF-3C48-8452-2E7FF12B43FC}">
      <text>
        <r>
          <rPr>
            <sz val="10"/>
            <color rgb="FF000000"/>
            <rFont val="Tahoma"/>
            <family val="2"/>
          </rPr>
          <t>SUMIF(H:H,"&gt;20")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<sst xmlns="http://schemas.openxmlformats.org/spreadsheetml/2006/main" count="341" uniqueCount="195">
  <si>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</si>
  <si>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</si>
  <si>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</si>
  <si>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</si>
  <si>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</si>
  <si>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</si>
  <si>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</si>
  <si>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</si>
  <si>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</si>
  <si>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</si>
  <si>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</si>
  <si>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</si>
  <si>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</si>
  <si>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</si>
  <si>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</si>
  <si>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</si>
  <si>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</si>
  <si>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</si>
  <si>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</si>
  <si>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</si>
  <si>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</si>
  <si>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</si>
  <si>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</si>
  <si>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</si>
  <si>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</si>
  <si>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</si>
  <si>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</si>
  <si>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</si>
  <si>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</si>
  <si>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</si>
  <si>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</si>
  <si>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</si>
  <si>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</si>
  <si>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</si>
  <si>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</si>
  <si>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</si>
  <si>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</si>
  <si>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</si>
  <si>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</si>
  <si>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</si>
  <si>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</si>
  <si>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</si>
  <si>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</si>
  <si>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</si>
  <si>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</si>
  <si>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</si>
  <si>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</si>
  <si>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</si>
  <si>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</si>
  <si>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</si>
  <si>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</si>
  <si>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</si>
  <si>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</si>
  <si>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</si>
  <si>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</si>
  <si>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</si>
  <si>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</si>
  <si>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</si>
  <si>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</si>
  <si>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</si>
  <si>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</si>
  <si>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</si>
  <si>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</si>
  <si>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</si>
  <si>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</si>
  <si>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</si>
  <si>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</si>
  <si>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</si>
  <si>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</si>
  <si>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</si>
  <si>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</si>
  <si>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</si>
  <si>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</si>
  <si>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</si>
  <si>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</si>
  <si>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</si>
  <si>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</si>
  <si>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</si>
  <si>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</si>
  <si>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</si>
  <si>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</si>
  <si>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</si>
  <si>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</si>
  <si>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</si>
  <si>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</si>
  <si>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</si>
  <si>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</si>
  <si>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</si>
  <si>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</si>
  <si>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</si>
  <si>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</si>
  <si>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</si>
  <si>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</si>
  <si>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</si>
  <si>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</si>
  <si>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</si>
  <si>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</si>
  <si>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</si>
  <si>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</si>
  <si>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</si>
  <si>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</si>
  <si>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</si>
  <si>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</si>
  <si>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</si>
  <si>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</si>
  <si>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</si>
  <si>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</si>
  <si>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</si>
  <si>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</si>
  <si>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</si>
  <si>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</si>
  <si>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</si>
  <si>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</si>
  <si>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</si>
  <si>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</si>
  <si>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</si>
  <si>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</si>
  <si>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</si>
  <si>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</si>
  <si>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</si>
  <si>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</si>
  <si>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</si>
  <si>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</si>
  <si>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</si>
  <si>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</si>
  <si>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</si>
  <si>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</si>
  <si>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</si>
  <si>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</si>
  <si>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</si>
  <si>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</si>
  <si>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</si>
  <si>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</si>
  <si>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</si>
  <si>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</si>
  <si>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</si>
  <si>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</si>
  <si>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</si>
  <si>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</si>
  <si>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</si>
  <si>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</si>
  <si>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</si>
  <si>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</si>
  <si>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</si>
  <si>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</si>
  <si>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</si>
  <si>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</si>
  <si>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</si>
  <si>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</si>
  <si>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</si>
  <si>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</si>
  <si>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</si>
  <si>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</si>
  <si>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</si>
  <si>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</si>
  <si>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</si>
  <si>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</si>
  <si>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</si>
  <si>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</si>
  <si>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</si>
  <si>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</si>
  <si>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</si>
  <si>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</si>
  <si>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</si>
  <si>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</si>
  <si>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</si>
  <si>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</si>
  <si>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</si>
  <si>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</si>
  <si>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</si>
  <si>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</si>
  <si>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</si>
  <si>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</si>
  <si>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</si>
  <si>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</si>
  <si>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</si>
  <si>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</si>
  <si>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Minimum(Excluding -1, 0)</t>
  </si>
  <si>
    <t>TEXTSPLIT(cell,delimiter)</t>
  </si>
  <si>
    <t>The function TEXTSPLIT splits the given text using the given delimeiter. Here the delimiter id "-" .</t>
  </si>
  <si>
    <t>SUM(IFERROR(range,value if error),range)</t>
  </si>
  <si>
    <t>The IFERROR will replace the #NA with 20 and the sum function will sum up all the values with 20s in the #NA place</t>
  </si>
  <si>
    <t>Column1</t>
  </si>
  <si>
    <t>INDEX(TableA[[A]:[I]],MATCH(VLOOKUP(A23,M:N,2,FALSE),TableA[Column1]),MATCH(VLOOKUP(B23,M:N,2,FALSE),TableA[[#Headers],[A]:[I]]))</t>
  </si>
  <si>
    <t>INDEX(data_array, row_number, column_number)</t>
  </si>
  <si>
    <t xml:space="preserve">First we lookup the values of name_1 and name_2 from the Table_B using VLOOKUP().  
Then we use these name_1, name_2(A to I) to get the row and column index using the MATCH() function. 
Then We use those roe and column index to get the value from the table uisng INDEX() function
</t>
  </si>
  <si>
    <t>STEP1</t>
  </si>
  <si>
    <t>STEP2</t>
  </si>
  <si>
    <t>STEP3</t>
  </si>
  <si>
    <t>FINAL Formula</t>
  </si>
  <si>
    <t>SOLUTION</t>
  </si>
  <si>
    <t>Select the range, Go to conditional formatting--&gt; Highlight cell rules--&gt; Equal to , Use "-1" for reds and "0" for greens</t>
  </si>
  <si>
    <t>Go to view--&gt; Freeze top row</t>
  </si>
  <si>
    <t>Use the formula SUMIF(Dataset!H:H,"&gt;20"), Here the check for &gt; 20 ensures that we sum only those values that are greater than 20</t>
  </si>
  <si>
    <t>Go to format cells --&gt; date --&gt; select the required date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</si>
</sst>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000000"/>
      <name val="Tahoma"/>
      <family val="2"/>
    </font>
    <font>
      <sz val="10"/>
      <color rgb="FF00206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7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0" xfId="0" applyNumberFormat="1" applyFont="1"/>
    <xf numFmtId="2" fontId="7" fillId="2" borderId="0" xfId="0" applyNumberFormat="1" applyFont="1" applyFill="1"/>
    <xf numFmtId="165" fontId="7" fillId="0" borderId="0" xfId="0" applyNumberFormat="1" applyFont="1"/>
    <xf numFmtId="165" fontId="3" fillId="0" borderId="0" xfId="0" applyNumberFormat="1" applyFont="1"/>
    <xf numFmtId="0" fontId="7" fillId="0" borderId="2" xfId="0" applyFont="1" applyBorder="1"/>
    <xf numFmtId="0" fontId="7" fillId="6" borderId="1" xfId="0" applyFont="1" applyFill="1" applyBorder="1"/>
    <xf numFmtId="0" fontId="3" fillId="6" borderId="1" xfId="0" applyFont="1" applyFill="1" applyBorder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9" fillId="0" borderId="0" xfId="0" applyFont="1" applyAlignment="1">
      <alignment wrapText="1"/>
    </xf>
    <xf numFmtId="0" fontId="9" fillId="0" borderId="0" xfId="0" applyFont="1"/>
    <xf numFmtId="0" fontId="9" fillId="8" borderId="15" xfId="0" applyFont="1" applyFill="1" applyBorder="1"/>
    <xf numFmtId="0" fontId="9" fillId="8" borderId="16" xfId="0" applyFont="1" applyFill="1" applyBorder="1"/>
    <xf numFmtId="0" fontId="8" fillId="8" borderId="16" xfId="0" applyFont="1" applyFill="1" applyBorder="1"/>
    <xf numFmtId="0" fontId="9" fillId="8" borderId="17" xfId="0" applyFont="1" applyFill="1" applyBorder="1"/>
    <xf numFmtId="0" fontId="8" fillId="8" borderId="18" xfId="0" applyFont="1" applyFill="1" applyBorder="1"/>
    <xf numFmtId="0" fontId="8" fillId="8" borderId="0" xfId="0" applyFont="1" applyFill="1" applyBorder="1"/>
    <xf numFmtId="0" fontId="18" fillId="8" borderId="19" xfId="0" applyFont="1" applyFill="1" applyBorder="1"/>
    <xf numFmtId="0" fontId="8" fillId="8" borderId="19" xfId="0" applyFont="1" applyFill="1" applyBorder="1"/>
    <xf numFmtId="0" fontId="8" fillId="8" borderId="20" xfId="0" applyFont="1" applyFill="1" applyBorder="1"/>
    <xf numFmtId="0" fontId="8" fillId="8" borderId="21" xfId="0" applyFont="1" applyFill="1" applyBorder="1"/>
    <xf numFmtId="0" fontId="8" fillId="8" borderId="22" xfId="0" applyFont="1" applyFill="1" applyBorder="1"/>
    <xf numFmtId="0" fontId="8" fillId="8" borderId="17" xfId="0" applyFont="1" applyFill="1" applyBorder="1"/>
    <xf numFmtId="0" fontId="8" fillId="8" borderId="15" xfId="0" applyFont="1" applyFill="1" applyBorder="1"/>
    <xf numFmtId="0" fontId="9" fillId="8" borderId="23" xfId="0" applyFont="1" applyFill="1" applyBorder="1"/>
    <xf numFmtId="0" fontId="8" fillId="8" borderId="24" xfId="0" applyFont="1" applyFill="1" applyBorder="1"/>
    <xf numFmtId="0" fontId="8" fillId="8" borderId="25" xfId="0" applyFont="1" applyFill="1" applyBorder="1"/>
    <xf numFmtId="0" fontId="9" fillId="7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fgColor theme="1"/>
          <bgColor rgb="FFFF0000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7"/>
      <tableStyleElement type="headerRow" dxfId="26"/>
    </tableStyle>
  </tableStyles>
  <colors>
    <mruColors>
      <color rgb="FF5E933B"/>
      <color rgb="FFF1FD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01739E-0EDE-8C42-9997-1FD5E184A078}" name="TableA" displayName="TableA" ref="A9:J18" totalsRowShown="0" headerRowDxfId="11" dataDxfId="12" headerRowBorderDxfId="24" tableBorderDxfId="25" totalsRowBorderDxfId="23">
  <autoFilter ref="A9:J18" xr:uid="{6D01739E-0EDE-8C42-9997-1FD5E184A078}"/>
  <tableColumns count="10">
    <tableColumn id="1" xr3:uid="{5BF903F0-5C47-0341-8928-F815957A0815}" name="Column1" dataDxfId="22"/>
    <tableColumn id="2" xr3:uid="{4CCF3BB3-4D59-7742-9200-96376C11377C}" name="A" dataDxfId="21"/>
    <tableColumn id="3" xr3:uid="{E0C2BEB2-1EC2-F34F-A142-53E146808C56}" name="B" dataDxfId="20"/>
    <tableColumn id="4" xr3:uid="{F5462CC6-939B-4542-9597-3F0384CDE70C}" name="C" dataDxfId="19"/>
    <tableColumn id="5" xr3:uid="{6C644DFF-8DD9-DA4A-B224-EEF53FACA08A}" name="D" dataDxfId="18"/>
    <tableColumn id="6" xr3:uid="{C87B144D-86AE-F146-B89B-DE2FEC3471B2}" name="E" dataDxfId="17"/>
    <tableColumn id="7" xr3:uid="{2E28C1FB-14AC-A645-8D7D-AC77C07244D9}" name="F" dataDxfId="16"/>
    <tableColumn id="8" xr3:uid="{7796CBA6-5B39-1A45-B748-62305F7B7FF7}" name="G" dataDxfId="15"/>
    <tableColumn id="9" xr3:uid="{32DE905F-F8EC-764D-B7E1-2392A1CCE76F}" name="H" dataDxfId="14"/>
    <tableColumn id="10" xr3:uid="{BF357AFD-6111-4541-810A-579B1D66C6DB}" name="I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6" sqref="A6"/>
    </sheetView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5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9" activePane="bottomLeft" state="frozen"/>
      <selection pane="bottomLeft" activeCell="A38" sqref="A38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7" width="12.796875" style="1" bestFit="1" customWidth="1"/>
    <col min="8" max="8" width="12.796875" style="43" bestFit="1" customWidth="1"/>
    <col min="9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27.3984375" style="46" bestFit="1" customWidth="1"/>
    <col min="25" max="26" width="9" style="1"/>
    <col min="27" max="27" width="17.59765625" style="1" bestFit="1" customWidth="1"/>
    <col min="28" max="16384" width="9" style="1"/>
  </cols>
  <sheetData>
    <row r="1" spans="1:24" s="3" customFormat="1" ht="14.75" customHeight="1" x14ac:dyDescent="0.2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44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2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43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43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43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43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43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43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43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43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43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43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4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43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43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43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43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43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43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43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43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43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43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43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43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43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4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43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43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43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43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43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43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43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43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43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43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43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43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43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43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autoFilter ref="A1:X40" xr:uid="{00000000-0001-0000-0000-000000000000}"/>
  <conditionalFormatting sqref="A1:A1048576">
    <cfRule type="duplicateValues" dxfId="10" priority="8"/>
  </conditionalFormatting>
  <conditionalFormatting sqref="B1:B1048576">
    <cfRule type="duplicateValues" dxfId="9" priority="7"/>
  </conditionalFormatting>
  <conditionalFormatting sqref="E29">
    <cfRule type="cellIs" dxfId="6" priority="6" operator="equal">
      <formula>-1</formula>
    </cfRule>
  </conditionalFormatting>
  <conditionalFormatting sqref="A1:X40">
    <cfRule type="cellIs" dxfId="5" priority="5" operator="equal">
      <formula>-1</formula>
    </cfRule>
  </conditionalFormatting>
  <conditionalFormatting sqref="A1:X40 D41:D1048576">
    <cfRule type="cellIs" dxfId="4" priority="4" operator="equal">
      <formula>"="</formula>
    </cfRule>
  </conditionalFormatting>
  <conditionalFormatting sqref="A1:C40">
    <cfRule type="cellIs" dxfId="1" priority="3" operator="equal">
      <formula>0</formula>
    </cfRule>
  </conditionalFormatting>
  <conditionalFormatting sqref="F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22"/>
  <sheetViews>
    <sheetView topLeftCell="B1" zoomScaleNormal="100" workbookViewId="0">
      <selection activeCell="D10" sqref="D10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07.59765625" style="1" bestFit="1" customWidth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">
      <c r="A2" s="2"/>
      <c r="B2" s="5" t="s">
        <v>160</v>
      </c>
      <c r="C2" s="2"/>
    </row>
    <row r="3" spans="1:5" x14ac:dyDescent="0.2">
      <c r="A3" s="6">
        <v>1</v>
      </c>
      <c r="B3" s="2" t="s">
        <v>107</v>
      </c>
      <c r="C3" s="2" t="s">
        <v>45</v>
      </c>
      <c r="D3" s="3" t="s">
        <v>191</v>
      </c>
      <c r="E3" s="1">
        <v>5</v>
      </c>
    </row>
    <row r="4" spans="1:5" x14ac:dyDescent="0.2">
      <c r="A4" s="6">
        <v>2</v>
      </c>
      <c r="B4" s="2" t="s">
        <v>46</v>
      </c>
      <c r="D4" s="3" t="s">
        <v>192</v>
      </c>
      <c r="E4" s="1">
        <v>5</v>
      </c>
    </row>
    <row r="5" spans="1:5" x14ac:dyDescent="0.2">
      <c r="A5" s="6">
        <v>3</v>
      </c>
      <c r="B5" s="2" t="s">
        <v>104</v>
      </c>
      <c r="C5" s="1">
        <f>SUMIF(Dataset!H:H,"&gt;20")</f>
        <v>1473.0000000000002</v>
      </c>
      <c r="D5" s="3" t="s">
        <v>193</v>
      </c>
      <c r="E5" s="1">
        <v>10</v>
      </c>
    </row>
    <row r="6" spans="1:5" x14ac:dyDescent="0.2">
      <c r="A6" s="6">
        <v>4</v>
      </c>
      <c r="B6" s="2" t="s">
        <v>106</v>
      </c>
      <c r="C6" s="2"/>
      <c r="D6" s="3" t="s">
        <v>194</v>
      </c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  <row r="22" spans="3:3" x14ac:dyDescent="0.2">
      <c r="C22" s="1">
        <f>SUMIF(Dataset!H:H,"&gt;20")</f>
        <v>1473.0000000000002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1"/>
  <sheetViews>
    <sheetView tabSelected="1" zoomScaleNormal="100" workbookViewId="0">
      <selection activeCell="H15" sqref="H15"/>
    </sheetView>
  </sheetViews>
  <sheetFormatPr baseColWidth="10" defaultRowHeight="14" x14ac:dyDescent="0.2"/>
  <cols>
    <col min="1" max="1" width="25.398437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25">
      <c r="A1" s="40" t="s">
        <v>55</v>
      </c>
      <c r="B1" s="39" t="s">
        <v>164</v>
      </c>
    </row>
    <row r="2" spans="1:7" s="39" customFormat="1" ht="21" x14ac:dyDescent="0.25">
      <c r="B2" s="39" t="s">
        <v>161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7" t="s">
        <v>162</v>
      </c>
      <c r="B4" s="1"/>
      <c r="C4" s="1"/>
      <c r="D4" s="1"/>
      <c r="E4" s="1"/>
      <c r="F4" s="1"/>
      <c r="G4" s="1"/>
    </row>
    <row r="5" spans="1:7" ht="15" x14ac:dyDescent="0.2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">
      <c r="A6" s="7" t="s">
        <v>40</v>
      </c>
      <c r="B6" s="11">
        <f>_xlfn.XLOOKUP(A6,Dataset!A:A,Dataset!G:G)</f>
        <v>2.7</v>
      </c>
      <c r="C6" s="11">
        <f>_xlfn.XLOOKUP(A6,Dataset!A:A,Dataset!N:N)</f>
        <v>7.6</v>
      </c>
      <c r="D6" s="11">
        <f>_xlfn.XLOOKUP(A6,Dataset!A:A,Dataset!R:R)</f>
        <v>4.2</v>
      </c>
      <c r="E6" s="11">
        <f>_xlfn.XLOOKUP(Task_2!A6,Dataset!A:A,Dataset!T:T)</f>
        <v>8.9</v>
      </c>
      <c r="F6" s="11">
        <f>_xlfn.XLOOKUP(Task_2!A6,Dataset!A:A,Dataset!V:V)</f>
        <v>4.2</v>
      </c>
    </row>
    <row r="7" spans="1:7" ht="15" x14ac:dyDescent="0.2">
      <c r="A7" s="7" t="s">
        <v>4</v>
      </c>
      <c r="B7" s="11">
        <f>_xlfn.XLOOKUP(A7,Dataset!A:A,Dataset!G:G)</f>
        <v>2.7</v>
      </c>
      <c r="C7" s="11">
        <f>_xlfn.XLOOKUP(A7,Dataset!A:A,Dataset!N:N)</f>
        <v>7.6</v>
      </c>
      <c r="D7" s="11">
        <f>_xlfn.XLOOKUP(A7,Dataset!A:A,Dataset!R:R)</f>
        <v>4.2</v>
      </c>
      <c r="E7" s="11">
        <f>_xlfn.XLOOKUP(Task_2!A7,Dataset!A:A,Dataset!T:T)</f>
        <v>8.9</v>
      </c>
      <c r="F7" s="11">
        <f>_xlfn.XLOOKUP(Task_2!A7,Dataset!A:A,Dataset!V:V)</f>
        <v>4.2</v>
      </c>
    </row>
    <row r="8" spans="1:7" ht="15" x14ac:dyDescent="0.2">
      <c r="A8" s="7" t="s">
        <v>7</v>
      </c>
      <c r="B8" s="11">
        <f>_xlfn.XLOOKUP(A8,Dataset!A:A,Dataset!G:G)</f>
        <v>3.6</v>
      </c>
      <c r="C8" s="11">
        <f>_xlfn.XLOOKUP(A8,Dataset!A:A,Dataset!N:N)</f>
        <v>11.1</v>
      </c>
      <c r="D8" s="11">
        <f>_xlfn.XLOOKUP(A8,Dataset!A:A,Dataset!R:R)</f>
        <v>5.8</v>
      </c>
      <c r="E8" s="11">
        <f>_xlfn.XLOOKUP(Task_2!A8,Dataset!A:A,Dataset!T:T)</f>
        <v>12.2</v>
      </c>
      <c r="F8" s="11">
        <f>_xlfn.XLOOKUP(Task_2!A8,Dataset!A:A,Dataset!V:V)</f>
        <v>5.8</v>
      </c>
    </row>
    <row r="9" spans="1:7" ht="15" x14ac:dyDescent="0.2">
      <c r="A9" s="7" t="s">
        <v>8</v>
      </c>
      <c r="B9" s="11">
        <f>_xlfn.XLOOKUP(A9,Dataset!A:A,Dataset!G:G)</f>
        <v>4.9000000000000004</v>
      </c>
      <c r="C9" s="11">
        <f>_xlfn.XLOOKUP(A9,Dataset!A:A,Dataset!N:N)</f>
        <v>13.3</v>
      </c>
      <c r="D9" s="11">
        <f>_xlfn.XLOOKUP(A9,Dataset!A:A,Dataset!R:R)</f>
        <v>8.1</v>
      </c>
      <c r="E9" s="11">
        <f>_xlfn.XLOOKUP(Task_2!A9,Dataset!A:A,Dataset!T:T)</f>
        <v>17</v>
      </c>
      <c r="F9" s="11">
        <f>_xlfn.XLOOKUP(Task_2!A9,Dataset!A:A,Dataset!V:V)</f>
        <v>8.1</v>
      </c>
    </row>
    <row r="10" spans="1:7" ht="15" x14ac:dyDescent="0.2">
      <c r="A10" s="7" t="s">
        <v>11</v>
      </c>
      <c r="B10" s="11">
        <f>_xlfn.XLOOKUP(A10,Dataset!A:A,Dataset!G:G)</f>
        <v>9.4</v>
      </c>
      <c r="C10" s="11">
        <f>_xlfn.XLOOKUP(A10,Dataset!A:A,Dataset!N:N)</f>
        <v>28.3</v>
      </c>
      <c r="D10" s="11">
        <f>_xlfn.XLOOKUP(A10,Dataset!A:A,Dataset!R:R)</f>
        <v>16.100000000000001</v>
      </c>
      <c r="E10" s="11">
        <f>_xlfn.XLOOKUP(Task_2!A10,Dataset!A:A,Dataset!T:T)</f>
        <v>32.799999999999997</v>
      </c>
      <c r="F10" s="11">
        <f>_xlfn.XLOOKUP(Task_2!A10,Dataset!A:A,Dataset!V:V)</f>
        <v>16.100000000000001</v>
      </c>
    </row>
    <row r="11" spans="1:7" ht="15" x14ac:dyDescent="0.2">
      <c r="A11" s="7" t="s">
        <v>12</v>
      </c>
      <c r="B11" s="11">
        <f>_xlfn.XLOOKUP(A11,Dataset!A:A,Dataset!G:G)</f>
        <v>11.6</v>
      </c>
      <c r="C11" s="11">
        <f>_xlfn.XLOOKUP(A11,Dataset!A:A,Dataset!N:N)</f>
        <v>35.200000000000003</v>
      </c>
      <c r="D11" s="11">
        <f>_xlfn.XLOOKUP(A11,Dataset!A:A,Dataset!R:R)</f>
        <v>21.3</v>
      </c>
      <c r="E11" s="11">
        <f>_xlfn.XLOOKUP(Task_2!A11,Dataset!A:A,Dataset!T:T)</f>
        <v>43</v>
      </c>
      <c r="F11" s="11">
        <f>_xlfn.XLOOKUP(Task_2!A11,Dataset!A:A,Dataset!V:V)</f>
        <v>21.3</v>
      </c>
    </row>
    <row r="12" spans="1:7" ht="15" x14ac:dyDescent="0.2">
      <c r="A12" s="7" t="s">
        <v>14</v>
      </c>
      <c r="B12" s="11">
        <f>_xlfn.XLOOKUP(A12,Dataset!A:A,Dataset!G:G)</f>
        <v>18.399999999999999</v>
      </c>
      <c r="C12" s="11">
        <f>_xlfn.XLOOKUP(A12,Dataset!A:A,Dataset!N:N)</f>
        <v>55.6</v>
      </c>
      <c r="D12" s="11">
        <f>_xlfn.XLOOKUP(A12,Dataset!A:A,Dataset!R:R)</f>
        <v>33.799999999999997</v>
      </c>
      <c r="E12" s="11">
        <f>_xlfn.XLOOKUP(Task_2!A12,Dataset!A:A,Dataset!T:T)</f>
        <v>67.900000000000006</v>
      </c>
      <c r="F12" s="11">
        <f>_xlfn.XLOOKUP(Task_2!A12,Dataset!A:A,Dataset!V:V)</f>
        <v>33.799999999999997</v>
      </c>
    </row>
    <row r="13" spans="1:7" ht="15" x14ac:dyDescent="0.2">
      <c r="A13" s="7" t="s">
        <v>15</v>
      </c>
      <c r="B13" s="11">
        <f>_xlfn.XLOOKUP(A13,Dataset!A:A,Dataset!G:G)</f>
        <v>0</v>
      </c>
      <c r="C13" s="11">
        <f>_xlfn.XLOOKUP(A13,Dataset!A:A,Dataset!N:N)</f>
        <v>0</v>
      </c>
      <c r="D13" s="11">
        <f>_xlfn.XLOOKUP(A13,Dataset!A:A,Dataset!R:R)</f>
        <v>0</v>
      </c>
      <c r="E13" s="11">
        <f>_xlfn.XLOOKUP(Task_2!A13,Dataset!A:A,Dataset!T:T)</f>
        <v>0</v>
      </c>
      <c r="F13" s="11">
        <f>_xlfn.XLOOKUP(Task_2!A13,Dataset!A:A,Dataset!V:V)</f>
        <v>0</v>
      </c>
    </row>
    <row r="14" spans="1:7" ht="15" x14ac:dyDescent="0.2">
      <c r="A14" s="7" t="s">
        <v>16</v>
      </c>
      <c r="B14" s="11">
        <f>_xlfn.XLOOKUP(A14,Dataset!A:A,Dataset!G:G)</f>
        <v>21.9</v>
      </c>
      <c r="C14" s="11">
        <f>_xlfn.XLOOKUP(A14,Dataset!A:A,Dataset!N:N)</f>
        <v>61.5</v>
      </c>
      <c r="D14" s="11">
        <f>_xlfn.XLOOKUP(A14,Dataset!A:A,Dataset!R:R)</f>
        <v>40.1</v>
      </c>
      <c r="E14" s="11">
        <f>_xlfn.XLOOKUP(Task_2!A14,Dataset!A:A,Dataset!T:T)</f>
        <v>76.599999999999994</v>
      </c>
      <c r="F14" s="11">
        <f>_xlfn.XLOOKUP(Task_2!A14,Dataset!A:A,Dataset!V:V)</f>
        <v>40.1</v>
      </c>
    </row>
    <row r="15" spans="1:7" ht="15" x14ac:dyDescent="0.2">
      <c r="A15" s="7" t="s">
        <v>18</v>
      </c>
      <c r="B15" s="11">
        <f>_xlfn.XLOOKUP(A15,Dataset!A:A,Dataset!G:G)</f>
        <v>26.8</v>
      </c>
      <c r="C15" s="11">
        <f>_xlfn.XLOOKUP(A15,Dataset!A:A,Dataset!N:N)</f>
        <v>79.599999999999994</v>
      </c>
      <c r="D15" s="11">
        <f>_xlfn.XLOOKUP(A15,Dataset!A:A,Dataset!R:R)</f>
        <v>47.9</v>
      </c>
      <c r="E15" s="11">
        <f>_xlfn.XLOOKUP(Task_2!A15,Dataset!A:A,Dataset!T:T)</f>
        <v>96.8</v>
      </c>
      <c r="F15" s="11">
        <f>_xlfn.XLOOKUP(Task_2!A15,Dataset!A:A,Dataset!V:V)</f>
        <v>47.9</v>
      </c>
    </row>
    <row r="16" spans="1:7" ht="15" x14ac:dyDescent="0.2">
      <c r="A16" s="7" t="s">
        <v>20</v>
      </c>
      <c r="B16" s="11">
        <f>_xlfn.XLOOKUP(A16,Dataset!A:A,Dataset!G:G)</f>
        <v>28.5</v>
      </c>
      <c r="C16" s="11">
        <f>_xlfn.XLOOKUP(A16,Dataset!A:A,Dataset!N:N)</f>
        <v>85.4</v>
      </c>
      <c r="D16" s="11">
        <f>_xlfn.XLOOKUP(A16,Dataset!A:A,Dataset!R:R)</f>
        <v>52.3</v>
      </c>
      <c r="E16" s="11">
        <f>_xlfn.XLOOKUP(Task_2!A16,Dataset!A:A,Dataset!T:T)</f>
        <v>106.1</v>
      </c>
      <c r="F16" s="11">
        <f>_xlfn.XLOOKUP(Task_2!A16,Dataset!A:A,Dataset!V:V)</f>
        <v>52.3</v>
      </c>
    </row>
    <row r="17" spans="1:6" ht="15" x14ac:dyDescent="0.2">
      <c r="A17" s="7" t="s">
        <v>22</v>
      </c>
      <c r="B17" s="11">
        <f>_xlfn.XLOOKUP(A17,Dataset!A:A,Dataset!G:G)</f>
        <v>30.7</v>
      </c>
      <c r="C17" s="11">
        <f>_xlfn.XLOOKUP(A17,Dataset!A:A,Dataset!N:N)</f>
        <v>92.1</v>
      </c>
      <c r="D17" s="11">
        <f>_xlfn.XLOOKUP(A17,Dataset!A:A,Dataset!R:R)</f>
        <v>57</v>
      </c>
      <c r="E17" s="11">
        <f>_xlfn.XLOOKUP(Task_2!A17,Dataset!A:A,Dataset!T:T)</f>
        <v>115.1</v>
      </c>
      <c r="F17" s="11">
        <f>_xlfn.XLOOKUP(Task_2!A17,Dataset!A:A,Dataset!V:V)</f>
        <v>57</v>
      </c>
    </row>
    <row r="18" spans="1:6" ht="15" x14ac:dyDescent="0.2">
      <c r="A18" s="7" t="s">
        <v>23</v>
      </c>
      <c r="B18" s="11">
        <f>_xlfn.XLOOKUP(A18,Dataset!A:A,Dataset!G:G)</f>
        <v>33.799999999999997</v>
      </c>
      <c r="C18" s="11">
        <f>_xlfn.XLOOKUP(A18,Dataset!A:A,Dataset!N:N)</f>
        <v>101.3</v>
      </c>
      <c r="D18" s="11">
        <f>_xlfn.XLOOKUP(A18,Dataset!A:A,Dataset!R:R)</f>
        <v>61.4</v>
      </c>
      <c r="E18" s="11">
        <f>_xlfn.XLOOKUP(Task_2!A18,Dataset!A:A,Dataset!T:T)</f>
        <v>124.4</v>
      </c>
      <c r="F18" s="11">
        <f>_xlfn.XLOOKUP(Task_2!A18,Dataset!A:A,Dataset!V:V)</f>
        <v>61.4</v>
      </c>
    </row>
    <row r="19" spans="1:6" ht="15" x14ac:dyDescent="0.2">
      <c r="A19" s="7" t="s">
        <v>24</v>
      </c>
      <c r="B19" s="11">
        <f>_xlfn.XLOOKUP(A19,Dataset!A:A,Dataset!G:G)</f>
        <v>34.700000000000003</v>
      </c>
      <c r="C19" s="11">
        <f>_xlfn.XLOOKUP(A19,Dataset!A:A,Dataset!N:N)</f>
        <v>106.1</v>
      </c>
      <c r="D19" s="11">
        <f>_xlfn.XLOOKUP(A19,Dataset!A:A,Dataset!R:R)</f>
        <v>63.6</v>
      </c>
      <c r="E19" s="11">
        <f>_xlfn.XLOOKUP(Task_2!A19,Dataset!A:A,Dataset!T:T)</f>
        <v>128.6</v>
      </c>
      <c r="F19" s="11">
        <f>_xlfn.XLOOKUP(Task_2!A19,Dataset!A:A,Dataset!V:V)</f>
        <v>63.6</v>
      </c>
    </row>
    <row r="20" spans="1:6" ht="15" x14ac:dyDescent="0.2">
      <c r="A20" s="7" t="s">
        <v>28</v>
      </c>
      <c r="B20" s="11">
        <f>_xlfn.XLOOKUP(A20,Dataset!A:A,Dataset!G:G)</f>
        <v>0</v>
      </c>
      <c r="C20" s="11">
        <f>_xlfn.XLOOKUP(A20,Dataset!A:A,Dataset!N:N)</f>
        <v>0</v>
      </c>
      <c r="D20" s="11">
        <f>_xlfn.XLOOKUP(A20,Dataset!A:A,Dataset!R:R)</f>
        <v>0</v>
      </c>
      <c r="E20" s="11">
        <f>_xlfn.XLOOKUP(Task_2!A20,Dataset!A:A,Dataset!T:T)</f>
        <v>0</v>
      </c>
      <c r="F20" s="11">
        <f>_xlfn.XLOOKUP(Task_2!A20,Dataset!A:A,Dataset!V:V)</f>
        <v>0</v>
      </c>
    </row>
    <row r="21" spans="1:6" ht="15" x14ac:dyDescent="0.2">
      <c r="A21" s="7" t="s">
        <v>57</v>
      </c>
      <c r="B21" s="11">
        <f>_xlfn.XLOOKUP(A21,Dataset!A:A,Dataset!G:G)</f>
        <v>41.3</v>
      </c>
      <c r="C21" s="11">
        <f>_xlfn.XLOOKUP(A21,Dataset!A:A,Dataset!N:N)</f>
        <v>124.4</v>
      </c>
      <c r="D21" s="11">
        <f>_xlfn.XLOOKUP(A21,Dataset!A:A,Dataset!R:R)</f>
        <v>75</v>
      </c>
      <c r="E21" s="11">
        <f>_xlfn.XLOOKUP(Task_2!A21,Dataset!A:A,Dataset!T:T)</f>
        <v>151.5</v>
      </c>
      <c r="F21" s="11">
        <f>_xlfn.XLOOKUP(Task_2!A21,Dataset!A:A,Dataset!V:V)</f>
        <v>75</v>
      </c>
    </row>
    <row r="22" spans="1:6" ht="15" x14ac:dyDescent="0.2">
      <c r="A22" s="7" t="s">
        <v>58</v>
      </c>
      <c r="B22" s="11">
        <f>_xlfn.XLOOKUP(A22,Dataset!A:A,Dataset!G:G)</f>
        <v>-1</v>
      </c>
      <c r="C22" s="11">
        <f>_xlfn.XLOOKUP(A22,Dataset!A:A,Dataset!N:N)</f>
        <v>-1</v>
      </c>
      <c r="D22" s="11">
        <f>_xlfn.XLOOKUP(A22,Dataset!A:A,Dataset!R:R)</f>
        <v>-1</v>
      </c>
      <c r="E22" s="11">
        <f>_xlfn.XLOOKUP(Task_2!A22,Dataset!A:A,Dataset!T:T)</f>
        <v>-1</v>
      </c>
      <c r="F22" s="11">
        <f>_xlfn.XLOOKUP(Task_2!A22,Dataset!A:A,Dataset!V:V)</f>
        <v>-1</v>
      </c>
    </row>
    <row r="23" spans="1:6" ht="15" x14ac:dyDescent="0.2">
      <c r="A23" s="7" t="s">
        <v>31</v>
      </c>
      <c r="B23" s="11">
        <f>_xlfn.XLOOKUP(A23,Dataset!A:A,Dataset!G:G)</f>
        <v>45</v>
      </c>
      <c r="C23" s="11">
        <f>_xlfn.XLOOKUP(A23,Dataset!A:A,Dataset!N:N)</f>
        <v>133.4</v>
      </c>
      <c r="D23" s="11">
        <f>_xlfn.XLOOKUP(A23,Dataset!A:A,Dataset!R:R)</f>
        <v>79.400000000000006</v>
      </c>
      <c r="E23" s="11">
        <f>_xlfn.XLOOKUP(Task_2!A23,Dataset!A:A,Dataset!T:T)</f>
        <v>160.9</v>
      </c>
      <c r="F23" s="11">
        <f>_xlfn.XLOOKUP(Task_2!A23,Dataset!A:A,Dataset!V:V)</f>
        <v>79.400000000000006</v>
      </c>
    </row>
    <row r="24" spans="1:6" ht="15" x14ac:dyDescent="0.2">
      <c r="A24" s="7" t="s">
        <v>32</v>
      </c>
      <c r="B24" s="11">
        <f>_xlfn.XLOOKUP(A24,Dataset!A:A,Dataset!G:G)</f>
        <v>-1</v>
      </c>
      <c r="C24" s="11">
        <f>_xlfn.XLOOKUP(A24,Dataset!A:A,Dataset!N:N)</f>
        <v>-1</v>
      </c>
      <c r="D24" s="11">
        <f>_xlfn.XLOOKUP(A24,Dataset!A:A,Dataset!R:R)</f>
        <v>-1</v>
      </c>
      <c r="E24" s="11">
        <f>_xlfn.XLOOKUP(Task_2!A24,Dataset!A:A,Dataset!T:T)</f>
        <v>-1</v>
      </c>
      <c r="F24" s="11">
        <f>_xlfn.XLOOKUP(Task_2!A24,Dataset!A:A,Dataset!V:V)</f>
        <v>-1</v>
      </c>
    </row>
    <row r="25" spans="1:6" ht="15" x14ac:dyDescent="0.2">
      <c r="A25" s="7" t="s">
        <v>34</v>
      </c>
      <c r="B25" s="11">
        <f>_xlfn.XLOOKUP(A25,Dataset!A:A,Dataset!G:G)</f>
        <v>43.3</v>
      </c>
      <c r="C25" s="11">
        <f>_xlfn.XLOOKUP(A25,Dataset!A:A,Dataset!N:N)</f>
        <v>128.6</v>
      </c>
      <c r="D25" s="11">
        <f>_xlfn.XLOOKUP(A25,Dataset!A:A,Dataset!R:R)</f>
        <v>79.400000000000006</v>
      </c>
      <c r="E25" s="11">
        <f>_xlfn.XLOOKUP(Task_2!A25,Dataset!A:A,Dataset!T:T)</f>
        <v>160.9</v>
      </c>
      <c r="F25" s="11">
        <f>_xlfn.XLOOKUP(Task_2!A25,Dataset!A:A,Dataset!V:V)</f>
        <v>79.400000000000006</v>
      </c>
    </row>
    <row r="26" spans="1:6" ht="15" x14ac:dyDescent="0.2">
      <c r="A26" s="7" t="s">
        <v>37</v>
      </c>
      <c r="B26" s="11">
        <f>_xlfn.XLOOKUP(A26,Dataset!A:A,Dataset!G:G)</f>
        <v>49.1</v>
      </c>
      <c r="C26" s="11">
        <f>_xlfn.XLOOKUP(A26,Dataset!A:A,Dataset!N:N)</f>
        <v>146.80000000000001</v>
      </c>
      <c r="D26" s="11">
        <f>_xlfn.XLOOKUP(A26,Dataset!A:A,Dataset!R:R)</f>
        <v>90.9</v>
      </c>
      <c r="E26" s="11">
        <f>_xlfn.XLOOKUP(Task_2!A26,Dataset!A:A,Dataset!T:T)</f>
        <v>183.5</v>
      </c>
      <c r="F26" s="11">
        <f>_xlfn.XLOOKUP(Task_2!A26,Dataset!A:A,Dataset!V:V)</f>
        <v>90.9</v>
      </c>
    </row>
    <row r="27" spans="1:6" ht="15" x14ac:dyDescent="0.2">
      <c r="A27" s="7" t="s">
        <v>39</v>
      </c>
      <c r="B27" s="11">
        <f>_xlfn.XLOOKUP(A27,Dataset!A:A,Dataset!G:G)</f>
        <v>51.8</v>
      </c>
      <c r="C27" s="11">
        <f>_xlfn.XLOOKUP(A27,Dataset!A:A,Dataset!N:N)</f>
        <v>156.4</v>
      </c>
      <c r="D27" s="11">
        <f>_xlfn.XLOOKUP(A27,Dataset!A:A,Dataset!R:R)</f>
        <v>93.1</v>
      </c>
      <c r="E27" s="11">
        <f>_xlfn.XLOOKUP(Task_2!A27,Dataset!A:A,Dataset!T:T)</f>
        <v>188.1</v>
      </c>
      <c r="F27" s="11">
        <f>_xlfn.XLOOKUP(Task_2!A27,Dataset!A:A,Dataset!V:V)</f>
        <v>93.1</v>
      </c>
    </row>
    <row r="28" spans="1:6" ht="15" x14ac:dyDescent="0.2">
      <c r="A28" s="47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  <row r="31" spans="1:6" ht="15" x14ac:dyDescent="0.2">
      <c r="A31" s="48" t="s">
        <v>177</v>
      </c>
      <c r="B31" s="49">
        <f>_xlfn.MINIFS(B6:B27,B6:B27,"&gt;0")</f>
        <v>2.7</v>
      </c>
      <c r="C31" s="49">
        <f>_xlfn.MINIFS(C6:C27,C6:C27,"&gt;0")</f>
        <v>7.6</v>
      </c>
      <c r="D31" s="49">
        <f>_xlfn.MINIFS(D6:D27,D6:D27,"&gt;0")</f>
        <v>4.2</v>
      </c>
      <c r="E31" s="49">
        <f>_xlfn.MINIFS(E6:E27,E6:E27,"&gt;0")</f>
        <v>8.9</v>
      </c>
      <c r="F31" s="49">
        <f>_xlfn.MINIFS(F6:F27,F6:F27,"&gt;0")</f>
        <v>4.2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2" zoomScaleNormal="100" workbookViewId="0">
      <selection activeCell="B16" sqref="B16"/>
    </sheetView>
  </sheetViews>
  <sheetFormatPr baseColWidth="10" defaultRowHeight="15" x14ac:dyDescent="0.2"/>
  <cols>
    <col min="1" max="1" width="39.796875" style="1" bestFit="1" customWidth="1"/>
    <col min="2" max="2" width="17.59765625" style="1" customWidth="1"/>
    <col min="3" max="16384" width="11" style="1"/>
  </cols>
  <sheetData>
    <row r="1" spans="1:10" s="39" customFormat="1" ht="21" x14ac:dyDescent="0.25">
      <c r="A1" s="40" t="s">
        <v>56</v>
      </c>
      <c r="B1" s="39" t="s">
        <v>174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151</v>
      </c>
    </row>
    <row r="5" spans="1:10" ht="19" x14ac:dyDescent="0.25">
      <c r="A5" s="41" t="s">
        <v>53</v>
      </c>
      <c r="B5" s="38" t="s">
        <v>178</v>
      </c>
    </row>
    <row r="6" spans="1:10" ht="19" x14ac:dyDescent="0.25">
      <c r="A6" s="41" t="s">
        <v>153</v>
      </c>
      <c r="B6" s="38" t="s">
        <v>179</v>
      </c>
    </row>
    <row r="7" spans="1:10" ht="19" x14ac:dyDescent="0.25">
      <c r="A7" s="41"/>
      <c r="B7" s="38"/>
    </row>
    <row r="9" spans="1:10" ht="24" x14ac:dyDescent="0.3">
      <c r="A9" s="17" t="s">
        <v>165</v>
      </c>
      <c r="I9" s="2"/>
      <c r="J9" s="2"/>
    </row>
    <row r="10" spans="1:10" x14ac:dyDescent="0.2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4" x14ac:dyDescent="0.3">
      <c r="A14" s="17" t="s">
        <v>162</v>
      </c>
    </row>
    <row r="15" spans="1:10" x14ac:dyDescent="0.2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">
      <c r="A16" s="7" t="s">
        <v>121</v>
      </c>
      <c r="B16" s="11" t="str" cm="1">
        <f t="array" ref="B16:F16">_xlfn.TEXTSPLIT(A16,"-")</f>
        <v>20000</v>
      </c>
      <c r="C16" s="1" t="str">
        <v>Monday</v>
      </c>
      <c r="D16" s="11" t="str">
        <v>0</v>
      </c>
      <c r="E16" s="1" t="str">
        <v>Sunday</v>
      </c>
      <c r="F16" s="11" t="str">
        <v>24</v>
      </c>
    </row>
    <row r="17" spans="1:6" x14ac:dyDescent="0.2">
      <c r="A17" s="7" t="s">
        <v>122</v>
      </c>
      <c r="B17" s="11" t="str" cm="1">
        <f t="array" ref="B17:F17">_xlfn.TEXTSPLIT(A17,"-")</f>
        <v>20002</v>
      </c>
      <c r="C17" s="1" t="str">
        <v>Monday</v>
      </c>
      <c r="D17" s="11" t="str">
        <v>0</v>
      </c>
      <c r="E17" s="1" t="str">
        <v>Sunday</v>
      </c>
      <c r="F17" s="11" t="str">
        <v>24</v>
      </c>
    </row>
    <row r="18" spans="1:6" x14ac:dyDescent="0.2">
      <c r="A18" s="7" t="s">
        <v>123</v>
      </c>
      <c r="B18" s="11" t="str" cm="1">
        <f t="array" ref="B18:F18">_xlfn.TEXTSPLIT(A18,"-")</f>
        <v>20004</v>
      </c>
      <c r="C18" s="1" t="str">
        <v>Monday</v>
      </c>
      <c r="D18" s="11" t="str">
        <v>0</v>
      </c>
      <c r="E18" s="1" t="str">
        <v>Sunday</v>
      </c>
      <c r="F18" s="11" t="str">
        <v>24</v>
      </c>
    </row>
    <row r="19" spans="1:6" x14ac:dyDescent="0.2">
      <c r="A19" s="7" t="s">
        <v>124</v>
      </c>
      <c r="B19" s="11" t="str" cm="1">
        <f t="array" ref="B19:F19">_xlfn.TEXTSPLIT(A19,"-")</f>
        <v>20006</v>
      </c>
      <c r="C19" s="1" t="str">
        <v>Monday</v>
      </c>
      <c r="D19" s="11" t="str">
        <v>0</v>
      </c>
      <c r="E19" s="1" t="str">
        <v>Sunday</v>
      </c>
      <c r="F19" s="11" t="str">
        <v>24</v>
      </c>
    </row>
    <row r="20" spans="1:6" x14ac:dyDescent="0.2">
      <c r="A20" s="7" t="s">
        <v>125</v>
      </c>
      <c r="B20" s="11" t="str" cm="1">
        <f t="array" ref="B20:F20">_xlfn.TEXTSPLIT(A20,"-")</f>
        <v>20008</v>
      </c>
      <c r="C20" s="1" t="str">
        <v>Monday</v>
      </c>
      <c r="D20" s="11" t="str">
        <v>0</v>
      </c>
      <c r="E20" s="1" t="str">
        <v>Sunday</v>
      </c>
      <c r="F20" s="11" t="str">
        <v>24</v>
      </c>
    </row>
    <row r="21" spans="1:6" x14ac:dyDescent="0.2">
      <c r="A21" s="7" t="s">
        <v>126</v>
      </c>
      <c r="B21" s="11" t="str" cm="1">
        <f t="array" ref="B21:F21">_xlfn.TEXTSPLIT(A21,"-")</f>
        <v>20010</v>
      </c>
      <c r="C21" s="1" t="str">
        <v>Monday</v>
      </c>
      <c r="D21" s="11" t="str">
        <v>0</v>
      </c>
      <c r="E21" s="1" t="str">
        <v>Sunday</v>
      </c>
      <c r="F21" s="11" t="str">
        <v>24</v>
      </c>
    </row>
    <row r="22" spans="1:6" x14ac:dyDescent="0.2">
      <c r="A22" s="7" t="s">
        <v>127</v>
      </c>
      <c r="B22" s="11" t="str" cm="1">
        <f t="array" ref="B22:F22">_xlfn.TEXTSPLIT(A22,"-")</f>
        <v>20012</v>
      </c>
      <c r="C22" s="1" t="str">
        <v>Monday</v>
      </c>
      <c r="D22" s="11" t="str">
        <v>0</v>
      </c>
      <c r="E22" s="1" t="str">
        <v>Sunday</v>
      </c>
      <c r="F22" s="11" t="str">
        <v>24</v>
      </c>
    </row>
    <row r="23" spans="1:6" x14ac:dyDescent="0.2">
      <c r="A23" s="7" t="s">
        <v>128</v>
      </c>
      <c r="B23" s="11" t="str" cm="1">
        <f t="array" ref="B23:F23">_xlfn.TEXTSPLIT(A23,"-")</f>
        <v>20014</v>
      </c>
      <c r="C23" s="1" t="str">
        <v>Monday</v>
      </c>
      <c r="D23" s="11" t="str">
        <v>0</v>
      </c>
      <c r="E23" s="1" t="str">
        <v>Sunday</v>
      </c>
      <c r="F23" s="11" t="str">
        <v>24</v>
      </c>
    </row>
    <row r="24" spans="1:6" x14ac:dyDescent="0.2">
      <c r="A24" s="7" t="s">
        <v>129</v>
      </c>
      <c r="B24" s="11" t="str" cm="1">
        <f t="array" ref="B24:F24">_xlfn.TEXTSPLIT(A24,"-")</f>
        <v>20016</v>
      </c>
      <c r="C24" s="1" t="str">
        <v>Monday</v>
      </c>
      <c r="D24" s="11" t="str">
        <v>0</v>
      </c>
      <c r="E24" s="1" t="str">
        <v>Sunday</v>
      </c>
      <c r="F24" s="11" t="str">
        <v>24</v>
      </c>
    </row>
    <row r="25" spans="1:6" x14ac:dyDescent="0.2">
      <c r="A25" s="7" t="s">
        <v>130</v>
      </c>
      <c r="B25" s="11" t="str" cm="1">
        <f t="array" ref="B25:F25">_xlfn.TEXTSPLIT(A25,"-")</f>
        <v>20018</v>
      </c>
      <c r="C25" s="1" t="str">
        <v>Monday</v>
      </c>
      <c r="D25" s="11" t="str">
        <v>0</v>
      </c>
      <c r="E25" s="1" t="str">
        <v>Sunday</v>
      </c>
      <c r="F25" s="11" t="str">
        <v>24</v>
      </c>
    </row>
    <row r="26" spans="1:6" x14ac:dyDescent="0.2">
      <c r="A26" s="7" t="s">
        <v>131</v>
      </c>
      <c r="B26" s="11" t="str" cm="1">
        <f t="array" ref="B26:F26">_xlfn.TEXTSPLIT(A26,"-")</f>
        <v>20020</v>
      </c>
      <c r="C26" s="1" t="str">
        <v>Monday</v>
      </c>
      <c r="D26" s="11" t="str">
        <v>0</v>
      </c>
      <c r="E26" s="1" t="str">
        <v>Sunday</v>
      </c>
      <c r="F26" s="11" t="str">
        <v>24</v>
      </c>
    </row>
    <row r="27" spans="1:6" x14ac:dyDescent="0.2">
      <c r="A27" s="7" t="s">
        <v>132</v>
      </c>
      <c r="B27" s="11" t="str" cm="1">
        <f t="array" ref="B27:F27">_xlfn.TEXTSPLIT(A27,"-")</f>
        <v>20022</v>
      </c>
      <c r="C27" s="1" t="str">
        <v>Monday</v>
      </c>
      <c r="D27" s="11" t="str">
        <v>0</v>
      </c>
      <c r="E27" s="1" t="str">
        <v>Sunday</v>
      </c>
      <c r="F27" s="11" t="str">
        <v>24</v>
      </c>
    </row>
    <row r="28" spans="1:6" x14ac:dyDescent="0.2">
      <c r="A28" s="7" t="s">
        <v>133</v>
      </c>
      <c r="B28" s="11" t="str" cm="1">
        <f t="array" ref="B28:F28">_xlfn.TEXTSPLIT(A28,"-")</f>
        <v>20024</v>
      </c>
      <c r="C28" s="1" t="str">
        <v>Monday</v>
      </c>
      <c r="D28" s="11" t="str">
        <v>0</v>
      </c>
      <c r="E28" s="1" t="str">
        <v>Sunday</v>
      </c>
      <c r="F28" s="11" t="str">
        <v>24</v>
      </c>
    </row>
    <row r="29" spans="1:6" x14ac:dyDescent="0.2">
      <c r="A29" s="7" t="s">
        <v>134</v>
      </c>
      <c r="B29" s="11" t="str" cm="1">
        <f t="array" ref="B29:F29">_xlfn.TEXTSPLIT(A29,"-")</f>
        <v>20026</v>
      </c>
      <c r="C29" s="1" t="str">
        <v>Monday</v>
      </c>
      <c r="D29" s="11" t="str">
        <v>0</v>
      </c>
      <c r="E29" s="1" t="str">
        <v>Sunday</v>
      </c>
      <c r="F29" s="11" t="str">
        <v>24</v>
      </c>
    </row>
    <row r="30" spans="1:6" x14ac:dyDescent="0.2">
      <c r="A30" s="7" t="s">
        <v>135</v>
      </c>
      <c r="B30" s="11" t="str" cm="1">
        <f t="array" ref="B30:F30">_xlfn.TEXTSPLIT(A30,"-")</f>
        <v>20028</v>
      </c>
      <c r="C30" s="1" t="str">
        <v>Monday</v>
      </c>
      <c r="D30" s="11" t="str">
        <v>0</v>
      </c>
      <c r="E30" s="1" t="str">
        <v>Sunday</v>
      </c>
      <c r="F30" s="11" t="str">
        <v>24</v>
      </c>
    </row>
    <row r="31" spans="1:6" x14ac:dyDescent="0.2">
      <c r="A31" s="7" t="s">
        <v>136</v>
      </c>
      <c r="B31" s="11" t="str" cm="1">
        <f t="array" ref="B31:F31">_xlfn.TEXTSPLIT(A31,"-")</f>
        <v>20030</v>
      </c>
      <c r="C31" s="1" t="str">
        <v>Monday</v>
      </c>
      <c r="D31" s="11" t="str">
        <v>0</v>
      </c>
      <c r="E31" s="1" t="str">
        <v>Sunday</v>
      </c>
      <c r="F31" s="11" t="str">
        <v>24</v>
      </c>
    </row>
    <row r="32" spans="1:6" x14ac:dyDescent="0.2">
      <c r="A32" s="7" t="s">
        <v>137</v>
      </c>
      <c r="B32" s="11" t="str" cm="1">
        <f t="array" ref="B32:F32">_xlfn.TEXTSPLIT(A32,"-")</f>
        <v>20032</v>
      </c>
      <c r="C32" s="1" t="str">
        <v>Monday</v>
      </c>
      <c r="D32" s="11" t="str">
        <v>0</v>
      </c>
      <c r="E32" s="1" t="str">
        <v>Sunday</v>
      </c>
      <c r="F32" s="11" t="str">
        <v>24</v>
      </c>
    </row>
    <row r="33" spans="1:6" x14ac:dyDescent="0.2">
      <c r="A33" s="7" t="s">
        <v>138</v>
      </c>
      <c r="B33" s="11" t="str" cm="1">
        <f t="array" ref="B33:F33">_xlfn.TEXTSPLIT(A33,"-")</f>
        <v>20034</v>
      </c>
      <c r="C33" s="1" t="str">
        <v>Monday</v>
      </c>
      <c r="D33" s="11" t="str">
        <v>0</v>
      </c>
      <c r="E33" s="1" t="str">
        <v>Sunday</v>
      </c>
      <c r="F33" s="11" t="str">
        <v>24</v>
      </c>
    </row>
    <row r="34" spans="1:6" x14ac:dyDescent="0.2">
      <c r="A34" s="7" t="s">
        <v>139</v>
      </c>
      <c r="B34" s="11" t="str" cm="1">
        <f t="array" ref="B34:F34">_xlfn.TEXTSPLIT(A34,"-")</f>
        <v>20036</v>
      </c>
      <c r="C34" s="1" t="str">
        <v>Monday</v>
      </c>
      <c r="D34" s="11" t="str">
        <v>0</v>
      </c>
      <c r="E34" s="1" t="str">
        <v>Sunday</v>
      </c>
      <c r="F34" s="11" t="str">
        <v>24</v>
      </c>
    </row>
    <row r="35" spans="1:6" x14ac:dyDescent="0.2">
      <c r="A35" s="7" t="s">
        <v>140</v>
      </c>
      <c r="B35" s="11" t="str" cm="1">
        <f t="array" ref="B35:F35">_xlfn.TEXTSPLIT(A35,"-")</f>
        <v>20038</v>
      </c>
      <c r="C35" s="1" t="str">
        <v>Monday</v>
      </c>
      <c r="D35" s="11" t="str">
        <v>0</v>
      </c>
      <c r="E35" s="1" t="str">
        <v>Sunday</v>
      </c>
      <c r="F35" s="11" t="str">
        <v>24</v>
      </c>
    </row>
    <row r="36" spans="1:6" x14ac:dyDescent="0.2">
      <c r="A36" s="7" t="s">
        <v>141</v>
      </c>
      <c r="B36" s="11" t="str" cm="1">
        <f t="array" ref="B36:F36">_xlfn.TEXTSPLIT(A36,"-")</f>
        <v>20040</v>
      </c>
      <c r="C36" s="1" t="str">
        <v>Monday</v>
      </c>
      <c r="D36" s="11" t="str">
        <v>0</v>
      </c>
      <c r="E36" s="1" t="str">
        <v>Sunday</v>
      </c>
      <c r="F36" s="11" t="str">
        <v>24</v>
      </c>
    </row>
    <row r="37" spans="1:6" x14ac:dyDescent="0.2">
      <c r="A37" s="7" t="s">
        <v>142</v>
      </c>
      <c r="B37" s="11" t="str" cm="1">
        <f t="array" ref="B37:F37">_xlfn.TEXTSPLIT(A37,"-")</f>
        <v>20042</v>
      </c>
      <c r="C37" s="1" t="str">
        <v>Monday</v>
      </c>
      <c r="D37" s="11" t="str">
        <v>0</v>
      </c>
      <c r="E37" s="1" t="str">
        <v>Sunday</v>
      </c>
      <c r="F37" s="11" t="str">
        <v>24</v>
      </c>
    </row>
    <row r="38" spans="1:6" x14ac:dyDescent="0.2">
      <c r="A38" s="7" t="s">
        <v>143</v>
      </c>
      <c r="B38" s="11" t="str" cm="1">
        <f t="array" ref="B38:F38">_xlfn.TEXTSPLIT(A38,"-")</f>
        <v>20044</v>
      </c>
      <c r="C38" s="1" t="str">
        <v>Monday</v>
      </c>
      <c r="D38" s="11" t="str">
        <v>0</v>
      </c>
      <c r="E38" s="1" t="str">
        <v>Sunday</v>
      </c>
      <c r="F38" s="11" t="str">
        <v>24</v>
      </c>
    </row>
    <row r="39" spans="1:6" x14ac:dyDescent="0.2">
      <c r="A39" s="7" t="s">
        <v>144</v>
      </c>
      <c r="B39" s="11" t="str" cm="1">
        <f t="array" ref="B39:F39">_xlfn.TEXTSPLIT(A39,"-")</f>
        <v>20046</v>
      </c>
      <c r="C39" s="1" t="str">
        <v>Monday</v>
      </c>
      <c r="D39" s="11" t="str">
        <v>0</v>
      </c>
      <c r="E39" s="1" t="str">
        <v>Sunday</v>
      </c>
      <c r="F39" s="11" t="str">
        <v>24</v>
      </c>
    </row>
    <row r="40" spans="1:6" x14ac:dyDescent="0.2">
      <c r="A40" s="7" t="s">
        <v>145</v>
      </c>
      <c r="B40" s="11" t="str" cm="1">
        <f t="array" ref="B40:F40">_xlfn.TEXTSPLIT(A40,"-")</f>
        <v>20048</v>
      </c>
      <c r="C40" s="1" t="str">
        <v>Monday</v>
      </c>
      <c r="D40" s="11" t="str">
        <v>0</v>
      </c>
      <c r="E40" s="1" t="str">
        <v>Sunday</v>
      </c>
      <c r="F40" s="11" t="str">
        <v>24</v>
      </c>
    </row>
    <row r="41" spans="1:6" x14ac:dyDescent="0.2">
      <c r="A41" s="7" t="s">
        <v>146</v>
      </c>
      <c r="B41" s="11" t="str" cm="1">
        <f t="array" ref="B41:F41">_xlfn.TEXTSPLIT(A41,"-")</f>
        <v>20050</v>
      </c>
      <c r="C41" s="1" t="str">
        <v>Monday</v>
      </c>
      <c r="D41" s="11" t="str">
        <v>0</v>
      </c>
      <c r="E41" s="1" t="str">
        <v>Sunday</v>
      </c>
      <c r="F41" s="11" t="str">
        <v>24</v>
      </c>
    </row>
    <row r="42" spans="1:6" x14ac:dyDescent="0.2">
      <c r="A42" s="7" t="s">
        <v>147</v>
      </c>
      <c r="B42" s="11" t="str" cm="1">
        <f t="array" ref="B42:F42">_xlfn.TEXTSPLIT(A42,"-")</f>
        <v>20052</v>
      </c>
      <c r="C42" s="1" t="str">
        <v>Monday</v>
      </c>
      <c r="D42" s="11" t="str">
        <v>0</v>
      </c>
      <c r="E42" s="1" t="str">
        <v>Sunday</v>
      </c>
      <c r="F42" s="11" t="str">
        <v>24</v>
      </c>
    </row>
    <row r="43" spans="1:6" x14ac:dyDescent="0.2">
      <c r="A43" s="7" t="s">
        <v>148</v>
      </c>
      <c r="B43" s="11" t="str" cm="1">
        <f t="array" ref="B43:F43">_xlfn.TEXTSPLIT(A43,"-")</f>
        <v>20054</v>
      </c>
      <c r="C43" s="1" t="str">
        <v>Monday</v>
      </c>
      <c r="D43" s="11" t="str">
        <v>0</v>
      </c>
      <c r="E43" s="1" t="str">
        <v>Sunday</v>
      </c>
      <c r="F43" s="11" t="str">
        <v>24</v>
      </c>
    </row>
    <row r="44" spans="1:6" x14ac:dyDescent="0.2">
      <c r="A44" s="7" t="s">
        <v>149</v>
      </c>
      <c r="B44" s="11" t="str" cm="1">
        <f t="array" ref="B44:F44">_xlfn.TEXTSPLIT(A44,"-")</f>
        <v>20058</v>
      </c>
      <c r="C44" s="1" t="str">
        <v>Monday</v>
      </c>
      <c r="D44" s="11" t="str">
        <v>0</v>
      </c>
      <c r="E44" s="1" t="str">
        <v>Sunday</v>
      </c>
      <c r="F44" s="11" t="str">
        <v>24</v>
      </c>
    </row>
    <row r="45" spans="1:6" x14ac:dyDescent="0.2">
      <c r="A45" s="7" t="s">
        <v>150</v>
      </c>
      <c r="B45" s="11" t="str" cm="1">
        <f t="array" ref="B45:F45">_xlfn.TEXTSPLIT(A45,"-")</f>
        <v>20060</v>
      </c>
      <c r="C45" s="1" t="str">
        <v>Monday</v>
      </c>
      <c r="D45" s="11" t="str">
        <v>0</v>
      </c>
      <c r="E45" s="1" t="str">
        <v>Sunday</v>
      </c>
      <c r="F45" s="11" t="str">
        <v>24</v>
      </c>
    </row>
    <row r="46" spans="1:6" x14ac:dyDescent="0.2">
      <c r="A46" s="7" t="s">
        <v>112</v>
      </c>
      <c r="B46" s="11" t="str" cm="1">
        <f t="array" ref="B46:F46">_xlfn.TEXTSPLIT(A46,"-")</f>
        <v>21000</v>
      </c>
      <c r="C46" s="1" t="str">
        <v>Monday</v>
      </c>
      <c r="D46" s="11" t="str">
        <v>0</v>
      </c>
      <c r="E46" s="1" t="str">
        <v>Sunday</v>
      </c>
      <c r="F46" s="11" t="str">
        <v>24</v>
      </c>
    </row>
    <row r="47" spans="1:6" x14ac:dyDescent="0.2">
      <c r="A47" s="7" t="s">
        <v>113</v>
      </c>
      <c r="B47" s="11" t="str" cm="1">
        <f t="array" ref="B47:F47">_xlfn.TEXTSPLIT(A47,"-")</f>
        <v>21002</v>
      </c>
      <c r="C47" s="1" t="str">
        <v>Monday</v>
      </c>
      <c r="D47" s="11" t="str">
        <v>0</v>
      </c>
      <c r="E47" s="1" t="str">
        <v>Sunday</v>
      </c>
      <c r="F47" s="11" t="str">
        <v>24</v>
      </c>
    </row>
    <row r="48" spans="1:6" x14ac:dyDescent="0.2">
      <c r="A48" s="7" t="s">
        <v>114</v>
      </c>
      <c r="B48" s="11" t="str" cm="1">
        <f t="array" ref="B48:F48">_xlfn.TEXTSPLIT(A48,"-")</f>
        <v>21004</v>
      </c>
      <c r="C48" s="1" t="str">
        <v>Monday</v>
      </c>
      <c r="D48" s="11" t="str">
        <v>0</v>
      </c>
      <c r="E48" s="1" t="str">
        <v>Sunday</v>
      </c>
      <c r="F48" s="11" t="str">
        <v>24</v>
      </c>
    </row>
    <row r="49" spans="1:6" x14ac:dyDescent="0.2">
      <c r="A49" s="7" t="s">
        <v>115</v>
      </c>
      <c r="B49" s="11" t="str" cm="1">
        <f t="array" ref="B49:F49">_xlfn.TEXTSPLIT(A49,"-")</f>
        <v>21006</v>
      </c>
      <c r="C49" s="1" t="str">
        <v>Monday</v>
      </c>
      <c r="D49" s="11" t="str">
        <v>0</v>
      </c>
      <c r="E49" s="1" t="str">
        <v>Sunday</v>
      </c>
      <c r="F49" s="11" t="str">
        <v>24</v>
      </c>
    </row>
    <row r="50" spans="1:6" x14ac:dyDescent="0.2">
      <c r="A50" s="7" t="s">
        <v>116</v>
      </c>
      <c r="B50" s="11" t="str" cm="1">
        <f t="array" ref="B50:F50">_xlfn.TEXTSPLIT(A50,"-")</f>
        <v>21008</v>
      </c>
      <c r="C50" s="1" t="str">
        <v>Monday</v>
      </c>
      <c r="D50" s="11" t="str">
        <v>0</v>
      </c>
      <c r="E50" s="1" t="str">
        <v>Sunday</v>
      </c>
      <c r="F50" s="11" t="str">
        <v>24</v>
      </c>
    </row>
    <row r="51" spans="1:6" x14ac:dyDescent="0.2">
      <c r="A51" s="7" t="s">
        <v>117</v>
      </c>
      <c r="B51" s="11" t="str" cm="1">
        <f t="array" ref="B51:F51">_xlfn.TEXTSPLIT(A51,"-")</f>
        <v>21010</v>
      </c>
      <c r="C51" s="1" t="str">
        <v>Monday</v>
      </c>
      <c r="D51" s="11" t="str">
        <v>0</v>
      </c>
      <c r="E51" s="1" t="str">
        <v>Sunday</v>
      </c>
      <c r="F51" s="11" t="str">
        <v>24</v>
      </c>
    </row>
    <row r="52" spans="1:6" x14ac:dyDescent="0.2">
      <c r="A52" s="7" t="s">
        <v>118</v>
      </c>
      <c r="B52" s="11" t="str" cm="1">
        <f t="array" ref="B52:F52">_xlfn.TEXTSPLIT(A52,"-")</f>
        <v>21012</v>
      </c>
      <c r="C52" s="1" t="str">
        <v>Monday</v>
      </c>
      <c r="D52" s="11" t="str">
        <v>0</v>
      </c>
      <c r="E52" s="1" t="str">
        <v>Sunday</v>
      </c>
      <c r="F52" s="11" t="str">
        <v>24</v>
      </c>
    </row>
    <row r="53" spans="1:6" x14ac:dyDescent="0.2">
      <c r="A53" s="7" t="s">
        <v>119</v>
      </c>
      <c r="B53" s="11" t="str" cm="1">
        <f t="array" ref="B53:F53">_xlfn.TEXTSPLIT(A53,"-")</f>
        <v>21014</v>
      </c>
      <c r="C53" s="1" t="str">
        <v>Monday</v>
      </c>
      <c r="D53" s="11" t="str">
        <v>0</v>
      </c>
      <c r="E53" s="1" t="str">
        <v>Sunday</v>
      </c>
      <c r="F53" s="11" t="str">
        <v>24</v>
      </c>
    </row>
    <row r="54" spans="1:6" x14ac:dyDescent="0.2">
      <c r="A54" s="8" t="s">
        <v>120</v>
      </c>
      <c r="B54" s="11" t="str" cm="1">
        <f t="array" ref="B54:F54">_xlfn.TEXTSPLIT(A54,"-")</f>
        <v>21016</v>
      </c>
      <c r="C54" s="9" t="str">
        <v>Monday</v>
      </c>
      <c r="D54" s="12" t="str">
        <v>0</v>
      </c>
      <c r="E54" s="9" t="str">
        <v>Sunday</v>
      </c>
      <c r="F54" s="12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I18" sqref="I18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0" t="s">
        <v>85</v>
      </c>
      <c r="B1" s="39" t="s">
        <v>167</v>
      </c>
    </row>
    <row r="2" spans="1:3" ht="19" x14ac:dyDescent="0.25">
      <c r="B2" s="38" t="s">
        <v>166</v>
      </c>
    </row>
    <row r="5" spans="1:3" ht="15" x14ac:dyDescent="0.2">
      <c r="B5" s="1" t="s">
        <v>151</v>
      </c>
    </row>
    <row r="6" spans="1:3" ht="15" x14ac:dyDescent="0.2">
      <c r="A6" s="3" t="s">
        <v>53</v>
      </c>
      <c r="B6" s="1" t="s">
        <v>180</v>
      </c>
    </row>
    <row r="7" spans="1:3" ht="15" x14ac:dyDescent="0.2">
      <c r="A7" s="3" t="s">
        <v>153</v>
      </c>
      <c r="B7" s="1" t="s">
        <v>181</v>
      </c>
    </row>
    <row r="10" spans="1:3" ht="24" x14ac:dyDescent="0.3">
      <c r="A10" s="17" t="s">
        <v>162</v>
      </c>
    </row>
    <row r="11" spans="1:3" ht="15" x14ac:dyDescent="0.2">
      <c r="A11" s="31" t="s">
        <v>86</v>
      </c>
      <c r="B11" s="16" t="s">
        <v>87</v>
      </c>
      <c r="C11" s="16" t="s">
        <v>88</v>
      </c>
    </row>
    <row r="12" spans="1:3" ht="15" x14ac:dyDescent="0.2">
      <c r="A12" s="31">
        <v>44927</v>
      </c>
      <c r="B12" s="16" t="s">
        <v>59</v>
      </c>
      <c r="C12" s="16">
        <v>200</v>
      </c>
    </row>
    <row r="13" spans="1:3" ht="15" x14ac:dyDescent="0.2">
      <c r="A13" s="31">
        <v>44928</v>
      </c>
      <c r="B13" s="16" t="s">
        <v>60</v>
      </c>
      <c r="C13" s="16" t="e">
        <v>#N/A</v>
      </c>
    </row>
    <row r="14" spans="1:3" ht="15" x14ac:dyDescent="0.2">
      <c r="A14" s="31">
        <v>44929</v>
      </c>
      <c r="B14" s="16" t="s">
        <v>61</v>
      </c>
      <c r="C14" s="16">
        <v>50</v>
      </c>
    </row>
    <row r="15" spans="1:3" ht="15" x14ac:dyDescent="0.2">
      <c r="A15" s="31">
        <v>44930</v>
      </c>
      <c r="B15" s="16" t="s">
        <v>62</v>
      </c>
      <c r="C15" s="16" t="e">
        <v>#N/A</v>
      </c>
    </row>
    <row r="16" spans="1:3" ht="15" x14ac:dyDescent="0.2">
      <c r="A16" s="31">
        <v>44931</v>
      </c>
      <c r="B16" s="16" t="s">
        <v>63</v>
      </c>
      <c r="C16" s="16">
        <v>10</v>
      </c>
    </row>
    <row r="17" spans="1:3" ht="15" x14ac:dyDescent="0.2">
      <c r="A17" s="31">
        <v>44932</v>
      </c>
      <c r="B17" s="16" t="s">
        <v>154</v>
      </c>
      <c r="C17" s="16">
        <v>150</v>
      </c>
    </row>
    <row r="18" spans="1:3" ht="15" x14ac:dyDescent="0.2">
      <c r="A18" s="31">
        <v>44933</v>
      </c>
      <c r="B18" s="16" t="s">
        <v>155</v>
      </c>
      <c r="C18" s="16">
        <v>80</v>
      </c>
    </row>
    <row r="19" spans="1:3" ht="15" x14ac:dyDescent="0.2">
      <c r="A19" s="31">
        <v>44934</v>
      </c>
      <c r="B19" s="16" t="s">
        <v>156</v>
      </c>
      <c r="C19" s="16" t="e">
        <v>#N/A</v>
      </c>
    </row>
    <row r="20" spans="1:3" ht="15" x14ac:dyDescent="0.2">
      <c r="A20" s="31">
        <v>44935</v>
      </c>
      <c r="B20" s="16" t="s">
        <v>157</v>
      </c>
      <c r="C20" s="16">
        <v>30</v>
      </c>
    </row>
    <row r="21" spans="1:3" ht="15" x14ac:dyDescent="0.2">
      <c r="A21" s="31">
        <v>44936</v>
      </c>
      <c r="B21" s="16" t="s">
        <v>158</v>
      </c>
      <c r="C21" s="16" t="e">
        <v>#N/A</v>
      </c>
    </row>
    <row r="22" spans="1:3" ht="15" x14ac:dyDescent="0.2">
      <c r="B22" s="16" t="s">
        <v>159</v>
      </c>
      <c r="C22" s="24" cm="1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Q35"/>
  <sheetViews>
    <sheetView topLeftCell="A8" zoomScaleNormal="100" workbookViewId="0">
      <selection activeCell="N10" sqref="N10"/>
    </sheetView>
  </sheetViews>
  <sheetFormatPr baseColWidth="10" defaultRowHeight="14" x14ac:dyDescent="0.2"/>
  <cols>
    <col min="1" max="1" width="28.19921875" style="2" bestFit="1" customWidth="1"/>
    <col min="2" max="2" width="11" style="2"/>
    <col min="3" max="3" width="42.19921875" style="2" bestFit="1" customWidth="1"/>
    <col min="4" max="4" width="16.19921875" style="2" customWidth="1"/>
    <col min="5" max="5" width="12.19921875" style="2" customWidth="1"/>
    <col min="6" max="16" width="11" style="2"/>
    <col min="17" max="17" width="120.59765625" style="2" bestFit="1" customWidth="1"/>
    <col min="18" max="16384" width="11" style="2"/>
  </cols>
  <sheetData>
    <row r="1" spans="1:14" ht="21" x14ac:dyDescent="0.25">
      <c r="A1" s="40" t="s">
        <v>98</v>
      </c>
      <c r="B1" s="39" t="s">
        <v>175</v>
      </c>
    </row>
    <row r="3" spans="1:14" ht="15" x14ac:dyDescent="0.2">
      <c r="B3" s="1" t="s">
        <v>151</v>
      </c>
    </row>
    <row r="4" spans="1:14" ht="19" x14ac:dyDescent="0.25">
      <c r="A4" s="41" t="s">
        <v>53</v>
      </c>
      <c r="B4" s="1"/>
      <c r="C4" s="58" t="s">
        <v>184</v>
      </c>
      <c r="E4" s="75" t="s">
        <v>183</v>
      </c>
    </row>
    <row r="5" spans="1:14" ht="145" customHeight="1" x14ac:dyDescent="0.25">
      <c r="A5" s="41" t="s">
        <v>153</v>
      </c>
      <c r="B5" s="1"/>
      <c r="C5" s="57" t="s">
        <v>185</v>
      </c>
    </row>
    <row r="6" spans="1:14" ht="15" x14ac:dyDescent="0.2">
      <c r="A6" s="3"/>
      <c r="B6" s="1"/>
    </row>
    <row r="8" spans="1:14" ht="24" x14ac:dyDescent="0.3">
      <c r="A8" s="17" t="s">
        <v>162</v>
      </c>
      <c r="M8" s="17" t="s">
        <v>163</v>
      </c>
    </row>
    <row r="9" spans="1:14" ht="15" x14ac:dyDescent="0.2">
      <c r="A9" s="51" t="s">
        <v>182</v>
      </c>
      <c r="B9" s="52" t="s">
        <v>89</v>
      </c>
      <c r="C9" s="52" t="s">
        <v>90</v>
      </c>
      <c r="D9" s="52" t="s">
        <v>91</v>
      </c>
      <c r="E9" s="52" t="s">
        <v>92</v>
      </c>
      <c r="F9" s="52" t="s">
        <v>93</v>
      </c>
      <c r="G9" s="52" t="s">
        <v>94</v>
      </c>
      <c r="H9" s="52" t="s">
        <v>95</v>
      </c>
      <c r="I9" s="52" t="s">
        <v>96</v>
      </c>
      <c r="J9" s="53" t="s">
        <v>97</v>
      </c>
      <c r="M9" s="18" t="s">
        <v>43</v>
      </c>
      <c r="N9" s="18" t="s">
        <v>99</v>
      </c>
    </row>
    <row r="10" spans="1:14" ht="15" x14ac:dyDescent="0.2">
      <c r="A10" s="50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36">
        <v>525</v>
      </c>
      <c r="M10" s="11">
        <v>10100</v>
      </c>
      <c r="N10" s="11" t="s">
        <v>89</v>
      </c>
    </row>
    <row r="11" spans="1:14" ht="15" x14ac:dyDescent="0.2">
      <c r="A11" s="50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36">
        <v>430</v>
      </c>
      <c r="M11" s="11">
        <v>10102</v>
      </c>
      <c r="N11" s="11" t="s">
        <v>90</v>
      </c>
    </row>
    <row r="12" spans="1:14" ht="15" x14ac:dyDescent="0.2">
      <c r="A12" s="50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36">
        <v>400</v>
      </c>
      <c r="M12" s="11">
        <v>10104</v>
      </c>
      <c r="N12" s="11" t="s">
        <v>91</v>
      </c>
    </row>
    <row r="13" spans="1:14" ht="15" x14ac:dyDescent="0.2">
      <c r="A13" s="50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36">
        <v>340</v>
      </c>
      <c r="M13" s="11">
        <v>10106</v>
      </c>
      <c r="N13" s="11" t="s">
        <v>92</v>
      </c>
    </row>
    <row r="14" spans="1:14" ht="15" x14ac:dyDescent="0.2">
      <c r="A14" s="50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36">
        <v>270</v>
      </c>
      <c r="M14" s="11">
        <v>10108</v>
      </c>
      <c r="N14" s="11" t="s">
        <v>93</v>
      </c>
    </row>
    <row r="15" spans="1:14" ht="15" x14ac:dyDescent="0.2">
      <c r="A15" s="50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36">
        <v>220</v>
      </c>
      <c r="M15" s="11">
        <v>10110</v>
      </c>
      <c r="N15" s="11" t="s">
        <v>94</v>
      </c>
    </row>
    <row r="16" spans="1:14" ht="15" x14ac:dyDescent="0.2">
      <c r="A16" s="50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36">
        <v>105</v>
      </c>
      <c r="M16" s="11">
        <v>10112</v>
      </c>
      <c r="N16" s="11" t="s">
        <v>95</v>
      </c>
    </row>
    <row r="17" spans="1:17" ht="15" x14ac:dyDescent="0.2">
      <c r="A17" s="50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36">
        <v>40</v>
      </c>
      <c r="M17" s="11">
        <v>10114</v>
      </c>
      <c r="N17" s="11" t="s">
        <v>96</v>
      </c>
    </row>
    <row r="18" spans="1:17" ht="15" x14ac:dyDescent="0.2">
      <c r="A18" s="54" t="s">
        <v>97</v>
      </c>
      <c r="B18" s="55">
        <v>525</v>
      </c>
      <c r="C18" s="55">
        <v>430</v>
      </c>
      <c r="D18" s="55">
        <v>400</v>
      </c>
      <c r="E18" s="55">
        <v>340</v>
      </c>
      <c r="F18" s="55">
        <v>270</v>
      </c>
      <c r="G18" s="55">
        <v>220</v>
      </c>
      <c r="H18" s="55">
        <v>105</v>
      </c>
      <c r="I18" s="55">
        <v>40</v>
      </c>
      <c r="J18" s="56">
        <v>-1</v>
      </c>
      <c r="M18" s="12">
        <v>10116</v>
      </c>
      <c r="N18" s="12" t="s">
        <v>97</v>
      </c>
    </row>
    <row r="20" spans="1:17" ht="15" thickBot="1" x14ac:dyDescent="0.25"/>
    <row r="21" spans="1:17" ht="25" thickBot="1" x14ac:dyDescent="0.35">
      <c r="A21" s="17" t="s">
        <v>168</v>
      </c>
      <c r="I21" s="59" t="s">
        <v>190</v>
      </c>
      <c r="J21" s="61"/>
      <c r="K21" s="61"/>
      <c r="L21" s="61"/>
      <c r="M21" s="61"/>
      <c r="N21" s="61"/>
      <c r="O21" s="61"/>
      <c r="P21" s="61"/>
      <c r="Q21" s="70"/>
    </row>
    <row r="22" spans="1:17" ht="15" x14ac:dyDescent="0.2">
      <c r="A22" s="13" t="s">
        <v>100</v>
      </c>
      <c r="B22" s="16" t="s">
        <v>101</v>
      </c>
      <c r="C22" s="15" t="s">
        <v>102</v>
      </c>
      <c r="I22" s="59" t="s">
        <v>186</v>
      </c>
      <c r="J22" s="62"/>
      <c r="K22" s="71"/>
      <c r="L22" s="60" t="s">
        <v>187</v>
      </c>
      <c r="M22" s="70"/>
      <c r="N22" s="61"/>
      <c r="O22" s="72" t="s">
        <v>188</v>
      </c>
      <c r="P22" s="61"/>
      <c r="Q22" s="62" t="s">
        <v>189</v>
      </c>
    </row>
    <row r="23" spans="1:17" ht="15" x14ac:dyDescent="0.2">
      <c r="A23" s="7">
        <v>10100</v>
      </c>
      <c r="B23" s="11">
        <v>10102</v>
      </c>
      <c r="C23" s="42">
        <f>INDEX(TableA[[A]:[I]],MATCH(VLOOKUP(A23,M:N,2,FALSE),TableA[Column1]),MATCH(VLOOKUP(B23,M:N,2,FALSE),TableA[[#Headers],[A]:[I]]))</f>
        <v>95</v>
      </c>
      <c r="I23" s="63" t="str">
        <f>VLOOKUP(A23,M:N,2,FALSE)</f>
        <v>A</v>
      </c>
      <c r="J23" s="66" t="str">
        <f>VLOOKUP(B23,M:N,2,FALSE)</f>
        <v>B</v>
      </c>
      <c r="K23" s="63"/>
      <c r="L23" s="64">
        <f>MATCH(I23,TableA[Column1])</f>
        <v>1</v>
      </c>
      <c r="M23" s="66">
        <f>MATCH(J23,TableA[[#Headers],[A]:[I]])</f>
        <v>2</v>
      </c>
      <c r="N23" s="64"/>
      <c r="O23" s="73" cm="1">
        <f t="array" ref="O23">INDEX(TableA[[A]:[I]],L23,M23)</f>
        <v>95</v>
      </c>
      <c r="P23" s="64"/>
      <c r="Q23" s="65" t="s">
        <v>183</v>
      </c>
    </row>
    <row r="24" spans="1:17" ht="15" x14ac:dyDescent="0.2">
      <c r="A24" s="7">
        <v>10100</v>
      </c>
      <c r="B24" s="11">
        <v>10104</v>
      </c>
      <c r="C24" s="42">
        <f>INDEX(TableA[[A]:[I]],MATCH(VLOOKUP(A24,M:N,2,FALSE),TableA[Column1]),MATCH(VLOOKUP(B24,M:N,2,FALSE),TableA[[#Headers],[A]:[I]]))</f>
        <v>-1</v>
      </c>
      <c r="I24" s="63" t="str">
        <f t="shared" ref="I24:I35" si="0">VLOOKUP(A24,M:N,2,FALSE)</f>
        <v>A</v>
      </c>
      <c r="J24" s="66" t="str">
        <f t="shared" ref="J24:J36" si="1">VLOOKUP(B24,M:N,2,FALSE)</f>
        <v>C</v>
      </c>
      <c r="K24" s="63"/>
      <c r="L24" s="64">
        <f>MATCH(I24,TableA[Column1])</f>
        <v>1</v>
      </c>
      <c r="M24" s="66">
        <f>MATCH(J24,TableA[[#Headers],[A]:[I]])</f>
        <v>3</v>
      </c>
      <c r="N24" s="64"/>
      <c r="O24" s="73" cm="1">
        <f t="array" ref="O24">INDEX(TableA[[A]:[I]],L24,M24)</f>
        <v>-1</v>
      </c>
      <c r="P24" s="64"/>
      <c r="Q24" s="66"/>
    </row>
    <row r="25" spans="1:17" ht="15" x14ac:dyDescent="0.2">
      <c r="A25" s="7">
        <v>10108</v>
      </c>
      <c r="B25" s="11">
        <v>10102</v>
      </c>
      <c r="C25" s="42">
        <f>INDEX(TableA[[A]:[I]],MATCH(VLOOKUP(A25,M:N,2,FALSE),TableA[Column1]),MATCH(VLOOKUP(B25,M:N,2,FALSE),TableA[[#Headers],[A]:[I]]))</f>
        <v>160</v>
      </c>
      <c r="I25" s="63" t="str">
        <f t="shared" si="0"/>
        <v>E</v>
      </c>
      <c r="J25" s="66" t="str">
        <f t="shared" si="1"/>
        <v>B</v>
      </c>
      <c r="K25" s="63"/>
      <c r="L25" s="64">
        <f>MATCH(I25,TableA[Column1])</f>
        <v>5</v>
      </c>
      <c r="M25" s="66">
        <f>MATCH(J25,TableA[[#Headers],[A]:[I]])</f>
        <v>2</v>
      </c>
      <c r="N25" s="64"/>
      <c r="O25" s="73" cm="1">
        <f t="array" ref="O25">INDEX(TableA[[A]:[I]],L25,M25)</f>
        <v>160</v>
      </c>
      <c r="P25" s="64"/>
      <c r="Q25" s="66"/>
    </row>
    <row r="26" spans="1:17" ht="15" x14ac:dyDescent="0.2">
      <c r="A26" s="7">
        <v>10100</v>
      </c>
      <c r="B26" s="11">
        <v>10106</v>
      </c>
      <c r="C26" s="42">
        <f>INDEX(TableA[[A]:[I]],MATCH(VLOOKUP(A26,M:N,2,FALSE),TableA[Column1]),MATCH(VLOOKUP(B26,M:N,2,FALSE),TableA[[#Headers],[A]:[I]]))</f>
        <v>185</v>
      </c>
      <c r="I26" s="63" t="str">
        <f t="shared" si="0"/>
        <v>A</v>
      </c>
      <c r="J26" s="66" t="str">
        <f t="shared" si="1"/>
        <v>D</v>
      </c>
      <c r="K26" s="63"/>
      <c r="L26" s="64">
        <f>MATCH(I26,TableA[Column1])</f>
        <v>1</v>
      </c>
      <c r="M26" s="66">
        <f>MATCH(J26,TableA[[#Headers],[A]:[I]])</f>
        <v>4</v>
      </c>
      <c r="N26" s="64"/>
      <c r="O26" s="73" cm="1">
        <f t="array" ref="O26">INDEX(TableA[[A]:[I]],L26,M26)</f>
        <v>185</v>
      </c>
      <c r="P26" s="64"/>
      <c r="Q26" s="66"/>
    </row>
    <row r="27" spans="1:17" ht="15" x14ac:dyDescent="0.2">
      <c r="A27" s="7">
        <v>10108</v>
      </c>
      <c r="B27" s="11">
        <v>10110</v>
      </c>
      <c r="C27" s="42">
        <f>INDEX(TableA[[A]:[I]],MATCH(VLOOKUP(A27,M:N,2,FALSE),TableA[Column1]),MATCH(VLOOKUP(B27,M:N,2,FALSE),TableA[[#Headers],[A]:[I]]))</f>
        <v>50</v>
      </c>
      <c r="I27" s="63" t="str">
        <f t="shared" si="0"/>
        <v>E</v>
      </c>
      <c r="J27" s="66" t="str">
        <f t="shared" si="1"/>
        <v>F</v>
      </c>
      <c r="K27" s="63"/>
      <c r="L27" s="64">
        <f>MATCH(I27,TableA[Column1])</f>
        <v>5</v>
      </c>
      <c r="M27" s="66">
        <f>MATCH(J27,TableA[[#Headers],[A]:[I]])</f>
        <v>6</v>
      </c>
      <c r="N27" s="64"/>
      <c r="O27" s="73" cm="1">
        <f t="array" ref="O27">INDEX(TableA[[A]:[I]],L27,M27)</f>
        <v>50</v>
      </c>
      <c r="P27" s="64"/>
      <c r="Q27" s="66"/>
    </row>
    <row r="28" spans="1:17" ht="15" x14ac:dyDescent="0.2">
      <c r="A28" s="7">
        <v>10102</v>
      </c>
      <c r="B28" s="11">
        <v>10104</v>
      </c>
      <c r="C28" s="42">
        <f>INDEX(TableA[[A]:[I]],MATCH(VLOOKUP(A28,M:N,2,FALSE),TableA[Column1]),MATCH(VLOOKUP(B28,M:N,2,FALSE),TableA[[#Headers],[A]:[I]]))</f>
        <v>-1</v>
      </c>
      <c r="I28" s="63" t="str">
        <f t="shared" si="0"/>
        <v>B</v>
      </c>
      <c r="J28" s="66" t="str">
        <f t="shared" si="1"/>
        <v>C</v>
      </c>
      <c r="K28" s="63"/>
      <c r="L28" s="64">
        <f>MATCH(I28,TableA[Column1])</f>
        <v>2</v>
      </c>
      <c r="M28" s="66">
        <f>MATCH(J28,TableA[[#Headers],[A]:[I]])</f>
        <v>3</v>
      </c>
      <c r="N28" s="64"/>
      <c r="O28" s="73" cm="1">
        <f t="array" ref="O28">INDEX(TableA[[A]:[I]],L28,M28)</f>
        <v>-1</v>
      </c>
      <c r="P28" s="64"/>
      <c r="Q28" s="66"/>
    </row>
    <row r="29" spans="1:17" ht="15" x14ac:dyDescent="0.2">
      <c r="A29" s="7">
        <v>10106</v>
      </c>
      <c r="B29" s="11">
        <v>10108</v>
      </c>
      <c r="C29" s="42">
        <f>INDEX(TableA[[A]:[I]],MATCH(VLOOKUP(A29,M:N,2,FALSE),TableA[Column1]),MATCH(VLOOKUP(B29,M:N,2,FALSE),TableA[[#Headers],[A]:[I]]))</f>
        <v>70</v>
      </c>
      <c r="I29" s="63" t="str">
        <f t="shared" si="0"/>
        <v>D</v>
      </c>
      <c r="J29" s="66" t="str">
        <f t="shared" si="1"/>
        <v>E</v>
      </c>
      <c r="K29" s="63"/>
      <c r="L29" s="64">
        <f>MATCH(I29,TableA[Column1])</f>
        <v>4</v>
      </c>
      <c r="M29" s="66">
        <f>MATCH(J29,TableA[[#Headers],[A]:[I]])</f>
        <v>5</v>
      </c>
      <c r="N29" s="64"/>
      <c r="O29" s="73" cm="1">
        <f t="array" ref="O29">INDEX(TableA[[A]:[I]],L29,M29)</f>
        <v>70</v>
      </c>
      <c r="P29" s="64"/>
      <c r="Q29" s="66"/>
    </row>
    <row r="30" spans="1:17" ht="15" x14ac:dyDescent="0.2">
      <c r="A30" s="7">
        <v>10102</v>
      </c>
      <c r="B30" s="11">
        <v>10106</v>
      </c>
      <c r="C30" s="42">
        <f>INDEX(TableA[[A]:[I]],MATCH(VLOOKUP(A30,M:N,2,FALSE),TableA[Column1]),MATCH(VLOOKUP(B30,M:N,2,FALSE),TableA[[#Headers],[A]:[I]]))</f>
        <v>90</v>
      </c>
      <c r="I30" s="63" t="str">
        <f t="shared" si="0"/>
        <v>B</v>
      </c>
      <c r="J30" s="66" t="str">
        <f t="shared" si="1"/>
        <v>D</v>
      </c>
      <c r="K30" s="63"/>
      <c r="L30" s="64">
        <f>MATCH(I30,TableA[Column1])</f>
        <v>2</v>
      </c>
      <c r="M30" s="66">
        <f>MATCH(J30,TableA[[#Headers],[A]:[I]])</f>
        <v>4</v>
      </c>
      <c r="N30" s="64"/>
      <c r="O30" s="73" cm="1">
        <f t="array" ref="O30">INDEX(TableA[[A]:[I]],L30,M30)</f>
        <v>90</v>
      </c>
      <c r="P30" s="64"/>
      <c r="Q30" s="66"/>
    </row>
    <row r="31" spans="1:17" ht="15" x14ac:dyDescent="0.2">
      <c r="A31" s="7">
        <v>10110</v>
      </c>
      <c r="B31" s="11">
        <v>10114</v>
      </c>
      <c r="C31" s="42">
        <f>INDEX(TableA[[A]:[I]],MATCH(VLOOKUP(A31,M:N,2,FALSE),TableA[Column1]),MATCH(VLOOKUP(B31,M:N,2,FALSE),TableA[[#Headers],[A]:[I]]))</f>
        <v>180</v>
      </c>
      <c r="I31" s="63" t="str">
        <f t="shared" si="0"/>
        <v>F</v>
      </c>
      <c r="J31" s="66" t="str">
        <f t="shared" si="1"/>
        <v>H</v>
      </c>
      <c r="K31" s="63"/>
      <c r="L31" s="64">
        <f>MATCH(I31,TableA[Column1])</f>
        <v>6</v>
      </c>
      <c r="M31" s="66">
        <f>MATCH(J31,TableA[[#Headers],[A]:[I]])</f>
        <v>8</v>
      </c>
      <c r="N31" s="64"/>
      <c r="O31" s="73" cm="1">
        <f t="array" ref="O31">INDEX(TableA[[A]:[I]],L31,M31)</f>
        <v>180</v>
      </c>
      <c r="P31" s="64"/>
      <c r="Q31" s="66"/>
    </row>
    <row r="32" spans="1:17" ht="15" x14ac:dyDescent="0.2">
      <c r="A32" s="7">
        <v>10104</v>
      </c>
      <c r="B32" s="11">
        <v>10106</v>
      </c>
      <c r="C32" s="42">
        <f>INDEX(TableA[[A]:[I]],MATCH(VLOOKUP(A32,M:N,2,FALSE),TableA[Column1]),MATCH(VLOOKUP(B32,M:N,2,FALSE),TableA[[#Headers],[A]:[I]]))</f>
        <v>60</v>
      </c>
      <c r="I32" s="63" t="str">
        <f t="shared" si="0"/>
        <v>C</v>
      </c>
      <c r="J32" s="66" t="str">
        <f t="shared" si="1"/>
        <v>D</v>
      </c>
      <c r="K32" s="63"/>
      <c r="L32" s="64">
        <f>MATCH(I32,TableA[Column1])</f>
        <v>3</v>
      </c>
      <c r="M32" s="66">
        <f>MATCH(J32,TableA[[#Headers],[A]:[I]])</f>
        <v>4</v>
      </c>
      <c r="N32" s="64"/>
      <c r="O32" s="73" cm="1">
        <f t="array" ref="O32">INDEX(TableA[[A]:[I]],L32,M32)</f>
        <v>60</v>
      </c>
      <c r="P32" s="64"/>
      <c r="Q32" s="66"/>
    </row>
    <row r="33" spans="1:17" ht="15" x14ac:dyDescent="0.2">
      <c r="A33" s="7">
        <v>10110</v>
      </c>
      <c r="B33" s="11">
        <v>10112</v>
      </c>
      <c r="C33" s="42">
        <f>INDEX(TableA[[A]:[I]],MATCH(VLOOKUP(A33,M:N,2,FALSE),TableA[Column1]),MATCH(VLOOKUP(B33,M:N,2,FALSE),TableA[[#Headers],[A]:[I]]))</f>
        <v>115</v>
      </c>
      <c r="I33" s="63" t="str">
        <f t="shared" si="0"/>
        <v>F</v>
      </c>
      <c r="J33" s="66" t="str">
        <f t="shared" si="1"/>
        <v>G</v>
      </c>
      <c r="K33" s="63"/>
      <c r="L33" s="64">
        <f>MATCH(I33,TableA[Column1])</f>
        <v>6</v>
      </c>
      <c r="M33" s="66">
        <f>MATCH(J33,TableA[[#Headers],[A]:[I]])</f>
        <v>7</v>
      </c>
      <c r="N33" s="64"/>
      <c r="O33" s="73" cm="1">
        <f t="array" ref="O33">INDEX(TableA[[A]:[I]],L33,M33)</f>
        <v>115</v>
      </c>
      <c r="P33" s="64"/>
      <c r="Q33" s="66"/>
    </row>
    <row r="34" spans="1:17" ht="15" x14ac:dyDescent="0.2">
      <c r="A34" s="7">
        <v>10100</v>
      </c>
      <c r="B34" s="11">
        <v>10114</v>
      </c>
      <c r="C34" s="42">
        <f>INDEX(TableA[[A]:[I]],MATCH(VLOOKUP(A34,M:N,2,FALSE),TableA[Column1]),MATCH(VLOOKUP(B34,M:N,2,FALSE),TableA[[#Headers],[A]:[I]]))</f>
        <v>480</v>
      </c>
      <c r="I34" s="63" t="str">
        <f t="shared" si="0"/>
        <v>A</v>
      </c>
      <c r="J34" s="66" t="str">
        <f t="shared" si="1"/>
        <v>H</v>
      </c>
      <c r="K34" s="63"/>
      <c r="L34" s="64">
        <f>MATCH(I34,TableA[Column1])</f>
        <v>1</v>
      </c>
      <c r="M34" s="66">
        <f>MATCH(J34,TableA[[#Headers],[A]:[I]])</f>
        <v>8</v>
      </c>
      <c r="N34" s="64"/>
      <c r="O34" s="73" cm="1">
        <f t="array" ref="O34">INDEX(TableA[[A]:[I]],L34,M34)</f>
        <v>480</v>
      </c>
      <c r="P34" s="64"/>
      <c r="Q34" s="66"/>
    </row>
    <row r="35" spans="1:17" ht="16" thickBot="1" x14ac:dyDescent="0.25">
      <c r="A35" s="8">
        <v>10112</v>
      </c>
      <c r="B35" s="12">
        <v>10116</v>
      </c>
      <c r="C35" s="42">
        <f>INDEX(TableA[[A]:[I]],MATCH(VLOOKUP(A35,M:N,2,FALSE),TableA[Column1]),MATCH(VLOOKUP(B35,M:N,2,FALSE),TableA[[#Headers],[A]:[I]]))</f>
        <v>105</v>
      </c>
      <c r="I35" s="67" t="str">
        <f t="shared" si="0"/>
        <v>G</v>
      </c>
      <c r="J35" s="69" t="str">
        <f t="shared" si="1"/>
        <v>I</v>
      </c>
      <c r="K35" s="67"/>
      <c r="L35" s="68">
        <f>MATCH(I35,TableA[Column1])</f>
        <v>7</v>
      </c>
      <c r="M35" s="69">
        <f>MATCH(J35,TableA[Column1])</f>
        <v>9</v>
      </c>
      <c r="N35" s="68"/>
      <c r="O35" s="74" cm="1">
        <f t="array" ref="O35">INDEX(TableA[[A]:[I]],L35,M35)</f>
        <v>105</v>
      </c>
      <c r="P35" s="68"/>
      <c r="Q35" s="6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mohammad_b3u70</cp:lastModifiedBy>
  <dcterms:created xsi:type="dcterms:W3CDTF">2015-02-10T17:33:11Z</dcterms:created>
  <dcterms:modified xsi:type="dcterms:W3CDTF">2023-12-08T20:50:57Z</dcterms:modified>
</cp:coreProperties>
</file>